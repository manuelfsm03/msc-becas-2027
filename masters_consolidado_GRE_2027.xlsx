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 GRE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UK Deep-Dive" sheetId="3" state="visible" r:id="rId3"/>
    <sheet xmlns:r="http://schemas.openxmlformats.org/officeDocument/2006/relationships" name="Todos los programas" sheetId="4" state="visible" r:id="rId4"/>
    <sheet xmlns:r="http://schemas.openxmlformats.org/officeDocument/2006/relationships" name="Filtro GRE-GMAT" sheetId="5" state="visible" r:id="rId5"/>
    <sheet xmlns:r="http://schemas.openxmlformats.org/officeDocument/2006/relationships" name="Becas" sheetId="6" state="visible" r:id="rId6"/>
    <sheet xmlns:r="http://schemas.openxmlformats.org/officeDocument/2006/relationships" name="Timeline" sheetId="7" state="visible" r:id="rId7"/>
    <sheet xmlns:r="http://schemas.openxmlformats.org/officeDocument/2006/relationships" name="Perfil y estrategia" sheetId="8" state="visible" r:id="rId8"/>
    <sheet xmlns:r="http://schemas.openxmlformats.org/officeDocument/2006/relationships" name="Pendientes" sheetId="9" state="visible" r:id="rId9"/>
  </sheets>
  <definedNames>
    <definedName name="_xlnm._FilterDatabase" localSheetId="1" hidden="1">'Ranking'!$A$11:$N$118</definedName>
    <definedName name="_xlnm._FilterDatabase" localSheetId="3" hidden="1">'Todos los programas'!$A$1:$Q$108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£#,##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BE5D6"/>
        <bgColor rgb="FFFCE4EC"/>
      </patternFill>
    </fill>
    <fill>
      <patternFill patternType="solid">
        <fgColor rgb="FFFFF2CC"/>
        <bgColor rgb="FFFBE5D6"/>
      </patternFill>
    </fill>
    <fill>
      <patternFill patternType="solid">
        <fgColor rgb="FFFCE4E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2" fontId="1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center" wrapText="1"/>
    </xf>
    <xf numFmtId="0" fontId="13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2" fontId="9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2" fontId="9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2" fontId="9" fillId="6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2" fontId="9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top" wrapText="1"/>
    </xf>
    <xf numFmtId="164" fontId="13" fillId="4" borderId="1" applyAlignment="1" pivotButton="0" quotePrefix="0" xfId="0">
      <alignment horizontal="general" vertical="top" wrapText="1"/>
    </xf>
    <xf numFmtId="164" fontId="13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top" wrapText="1"/>
    </xf>
    <xf numFmtId="0" fontId="15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top" wrapText="1"/>
    </xf>
    <xf numFmtId="0" fontId="13" fillId="9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16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13" fillId="9" borderId="1" applyAlignment="1" pivotButton="0" quotePrefix="0" xfId="0">
      <alignment horizontal="center" vertical="top"/>
    </xf>
    <xf numFmtId="0" fontId="13" fillId="8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3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2" fontId="1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center" wrapText="1"/>
    </xf>
    <xf numFmtId="0" fontId="13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2" fontId="9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2" fontId="9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2" fontId="9" fillId="6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2" fontId="9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top" wrapText="1"/>
    </xf>
    <xf numFmtId="164" fontId="13" fillId="4" borderId="1" applyAlignment="1" pivotButton="0" quotePrefix="0" xfId="0">
      <alignment horizontal="general" vertical="top" wrapText="1"/>
    </xf>
    <xf numFmtId="164" fontId="13" fillId="5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top" wrapText="1"/>
    </xf>
    <xf numFmtId="0" fontId="15" fillId="8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top" wrapText="1"/>
    </xf>
    <xf numFmtId="0" fontId="13" fillId="9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16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13" fillId="9" borderId="1" applyAlignment="1" pivotButton="0" quotePrefix="0" xfId="0">
      <alignment horizontal="center" vertical="top"/>
    </xf>
    <xf numFmtId="0" fontId="13" fillId="8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3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C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0" customWidth="1" style="46" min="1" max="1"/>
  </cols>
  <sheetData>
    <row r="1" ht="15" customHeight="1" s="47">
      <c r="A1" s="48" t="inlineStr">
        <is>
          <t>NOTA GRE OBJETIVO PARA PASAR TODOS LOS FILTROS</t>
        </is>
      </c>
    </row>
    <row r="2" ht="15" customHeight="1" s="47">
      <c r="A2" s="49" t="n"/>
    </row>
    <row r="3" ht="15" customHeight="1" s="47">
      <c r="A3" s="50" t="inlineStr">
        <is>
          <t>Quantitative: ≥165 (percentil ~85)  ·  Verbal: ≥158  ·  AWA: ≥4.0</t>
        </is>
      </c>
    </row>
    <row r="4" ht="15" customHeight="1" s="47">
      <c r="A4" s="49" t="n"/>
    </row>
    <row r="5" ht="15" customHeight="1" s="47">
      <c r="A5" s="49" t="inlineStr">
        <is>
          <t>Con ese score pasás: LSE (Q164), Tinbergen (piso Q160, típico top-10%), CEMFI (sin cutoff pero Q alto), Oxford EfD (ref. Q164),</t>
        </is>
      </c>
    </row>
    <row r="6" ht="15" customHeight="1" s="47">
      <c r="A6" s="49" t="inlineStr">
        <is>
          <t>SSE (piso Q155), Bocconi (equiv. GMAT 600), Maastricht (GMAT 515 / GRE equiv.), Groningen RM (GMAT 600 equiv.),</t>
        </is>
      </c>
    </row>
    <row r="7" ht="15" customHeight="1" s="47">
      <c r="A7" s="49" t="inlineStr">
        <is>
          <t>y cubrís todas las recomendaciones (Edinburgh Q p85, WBS, St. Gallen, BSE, Nova).</t>
        </is>
      </c>
    </row>
    <row r="8" ht="15" customHeight="1" s="47">
      <c r="A8" s="49" t="n"/>
    </row>
    <row r="9" ht="15" customHeight="1" s="47">
      <c r="A9" s="48" t="inlineStr">
        <is>
          <t>Pisos duros individuales (mínimo para no ser descartado automáticamente):</t>
        </is>
      </c>
    </row>
    <row r="10" ht="15" customHeight="1" s="47">
      <c r="A10" s="49" t="inlineStr">
        <is>
          <t xml:space="preserve">  · Tinbergen: Q160  ·  LSE: Q~164 esperado  ·  SSE: Q155  ·  Bocconi: equiv. GMAT 600  ·  Maastricht: GMAT 515/AWA 3.5</t>
        </is>
      </c>
    </row>
    <row r="11" ht="15" customHeight="1" s="47">
      <c r="A11" s="49" t="n"/>
    </row>
    <row r="12" ht="15" customHeight="1" s="47">
      <c r="A12" s="48" t="inlineStr">
        <is>
          <t>Claves:</t>
        </is>
      </c>
    </row>
    <row r="13" ht="15" customHeight="1" s="47">
      <c r="A13" s="49" t="inlineStr">
        <is>
          <t xml:space="preserve">  · Ningún programa exige GMAT en exclusiva → con UN solo GRE cubrís toda la lista.</t>
        </is>
      </c>
    </row>
    <row r="14" ht="15" customHeight="1" s="47">
      <c r="A14" s="49" t="inlineStr">
        <is>
          <t xml:space="preserve">  · El GRE debe tener &lt;5 años al 1-oct-2027 y enviarse oficialmente (códigos: CEMFI 7046, St. Gallen 7202).</t>
        </is>
      </c>
    </row>
    <row r="15" ht="15" customHeight="1" s="47">
      <c r="A15" s="49" t="inlineStr">
        <is>
          <t xml:space="preserve">  · La gran mayoría del catálogo (UK Inova, Groningen/Radboud MSc, Alemania, nórdicos salvo SSE, Francia, Bélgica,</t>
        </is>
      </c>
    </row>
    <row r="16" ht="15" customHeight="1" s="47">
      <c r="A16" s="49" t="inlineStr">
        <is>
          <t xml:space="preserve">    Austria, Portugal salvo test, QEM) NO pide GRE: el filtro afecta solo a los programas 'nuevos' top y research.</t>
        </is>
      </c>
    </row>
    <row r="17" ht="15" customHeight="1" s="47">
      <c r="A17" s="49" t="inlineStr">
        <is>
          <t xml:space="preserve">  · Verificado en webs oficiales julio 2026; reconfirmar cada requisito al abrir el ciclo 2027-28.</t>
        </is>
      </c>
    </row>
    <row r="18" ht="15" customHeight="1" s="47">
      <c r="A18" s="49" t="inlineStr">
        <is>
          <t xml:space="preserve">  · Pendiente de verificar: Carlos III (probablemente no exige GRE).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6" min="1" max="1"/>
    <col width="24" customWidth="1" style="46" min="2" max="2"/>
    <col width="32" customWidth="1" style="46" min="3" max="3"/>
    <col width="13" customWidth="1" style="46" min="4" max="4"/>
    <col width="9" customWidth="1" style="46" min="5" max="5"/>
    <col width="6" customWidth="1" style="46" min="6" max="7"/>
    <col width="7" customWidth="1" style="46" min="8" max="8"/>
    <col width="8" customWidth="1" style="46" min="9" max="9"/>
    <col width="9" customWidth="1" style="46" min="10" max="10"/>
    <col width="7" customWidth="1" style="46" min="11" max="11"/>
    <col width="8" customWidth="1" style="46" min="12" max="12"/>
    <col width="13" customWidth="1" style="46" min="13" max="13"/>
    <col width="48" customWidth="1" style="46" min="14" max="14"/>
  </cols>
  <sheetData>
    <row r="1" ht="15" customHeight="1" s="47">
      <c r="A1" s="51" t="inlineStr">
        <is>
          <t>RANKING DE PRIORIZACIÓN — score ponderado editable (escalas 1-5; ver leyenda). Ordenado con los pesos default.</t>
        </is>
      </c>
    </row>
    <row r="2" ht="15" customHeight="1" s="47">
      <c r="A2" s="52" t="inlineStr">
        <is>
          <t>PESOS (celdas amarillas = editables; al cambiarlas el SCORE se recalcula solo — el orden de filas no se reordena solo: usar Datos → Ordenar por SCORE)</t>
        </is>
      </c>
    </row>
    <row r="3" ht="15" customHeight="1" s="47">
      <c r="A3" s="53" t="inlineStr">
        <is>
          <t>Fit intereses (mejor track)</t>
        </is>
      </c>
      <c r="B3" s="54" t="n">
        <v>0.25</v>
      </c>
      <c r="D3" s="53" t="inlineStr">
        <is>
          <t>Leyenda escalas (1-5):</t>
        </is>
      </c>
    </row>
    <row r="4" ht="15" customHeight="1" s="47">
      <c r="A4" s="53" t="inlineStr">
        <is>
          <t>Costo neto anual p/ Manuel</t>
        </is>
      </c>
      <c r="B4" s="54" t="n">
        <v>0.25</v>
      </c>
      <c r="D4" s="55" t="inlineStr">
        <is>
          <t>Fit: estrellas del mejor track (T1 o T2) según catálogo</t>
        </is>
      </c>
    </row>
    <row r="5" ht="15" customHeight="1" s="47">
      <c r="A5" s="53" t="inlineStr">
        <is>
          <t>Financiabilidad (beca obtenible o costo ya bajo)</t>
        </is>
      </c>
      <c r="B5" s="54" t="n">
        <v>0.2</v>
      </c>
      <c r="D5" s="55" t="inlineStr">
        <is>
          <t>Costo: 5 = casi gratis (Alemania/nórdicos/NL/FR) · 3 = medio (Suiza) · 1 = UK sin beca (£35-55k)</t>
        </is>
      </c>
    </row>
    <row r="6" ht="15" customHeight="1" s="47">
      <c r="A6" s="53" t="inlineStr">
        <is>
          <t>Prestigio académico/placement</t>
        </is>
      </c>
      <c r="B6" s="54" t="n">
        <v>0.2</v>
      </c>
      <c r="D6" s="55" t="inlineStr">
        <is>
          <t>Financiabilidad: 5 = no necesitás beca · 4 = beca targeted fuerte (CEMFI-Carolina, CEU-Hantos) · 2 = becas parciales competitivas</t>
        </is>
      </c>
    </row>
    <row r="7" ht="15" customHeight="1" s="47">
      <c r="A7" s="53" t="inlineStr">
        <is>
          <t>Admisibilidad con tu perfil</t>
        </is>
      </c>
      <c r="B7" s="54" t="n">
        <v>0.1</v>
      </c>
      <c r="D7" s="55" t="inlineStr">
        <is>
          <t>Prestigio: reputación investigación + placement doctoral/laboral</t>
        </is>
      </c>
    </row>
    <row r="8" ht="15" customHeight="1" s="47">
      <c r="A8" s="53" t="inlineStr">
        <is>
          <t>Bonus programas ≤1 año (puntos)</t>
        </is>
      </c>
      <c r="B8" s="54" t="n">
        <v>0.25</v>
      </c>
      <c r="D8" s="55" t="inlineStr">
        <is>
          <t>Admisibilidad: 5 = muy probable con 7.82 UBA + experiencia · 2 = ultra selectivo (LSE, Oxford, CEMFI, Tinbergen, PSE-APE)</t>
        </is>
      </c>
    </row>
    <row r="9" ht="15" customHeight="1" s="47">
      <c r="A9" s="53" t="inlineStr">
        <is>
          <t>Suma de pesos (debe dar 1,00):</t>
        </is>
      </c>
      <c r="B9" s="56">
        <f>SUM(B3:B7)</f>
        <v/>
      </c>
    </row>
    <row r="11" ht="23.25" customHeight="1" s="47">
      <c r="A11" s="57" t="inlineStr">
        <is>
          <t>Rank</t>
        </is>
      </c>
      <c r="B11" s="57" t="inlineStr">
        <is>
          <t>Universidad</t>
        </is>
      </c>
      <c r="C11" s="57" t="inlineStr">
        <is>
          <t>Programa</t>
        </is>
      </c>
      <c r="D11" s="57" t="inlineStr">
        <is>
          <t>Región</t>
        </is>
      </c>
      <c r="E11" s="57" t="inlineStr">
        <is>
          <t>Gestión</t>
        </is>
      </c>
      <c r="F11" s="57" t="inlineStr">
        <is>
          <t>Años</t>
        </is>
      </c>
      <c r="G11" s="57" t="inlineStr">
        <is>
          <t>Fit</t>
        </is>
      </c>
      <c r="H11" s="57" t="inlineStr">
        <is>
          <t>Costo</t>
        </is>
      </c>
      <c r="I11" s="57" t="inlineStr">
        <is>
          <t>Financ.</t>
        </is>
      </c>
      <c r="J11" s="57" t="inlineStr">
        <is>
          <t>Prestigio</t>
        </is>
      </c>
      <c r="K11" s="57" t="inlineStr">
        <is>
          <t>Admis.</t>
        </is>
      </c>
      <c r="L11" s="57" t="inlineStr">
        <is>
          <t>SCORE</t>
        </is>
      </c>
      <c r="M11" s="57" t="inlineStr">
        <is>
          <t>Tier</t>
        </is>
      </c>
      <c r="N11" s="57" t="inlineStr">
        <is>
          <t>Nota becas</t>
        </is>
      </c>
    </row>
    <row r="12" ht="15" customHeight="1" s="47">
      <c r="A12" s="58" t="n">
        <v>1</v>
      </c>
      <c r="B12" s="59" t="inlineStr">
        <is>
          <t>Univ. of Bonn</t>
        </is>
      </c>
      <c r="C12" s="58" t="inlineStr">
        <is>
          <t>MSc Economics</t>
        </is>
      </c>
      <c r="D12" s="58" t="inlineStr">
        <is>
          <t>🇩🇪</t>
        </is>
      </c>
      <c r="E12" s="58" t="inlineStr">
        <is>
          <t>Directa</t>
        </is>
      </c>
      <c r="F12" s="58" t="n">
        <v>2</v>
      </c>
      <c r="G12" s="58" t="n">
        <v>5</v>
      </c>
      <c r="H12" s="58" t="n">
        <v>5</v>
      </c>
      <c r="I12" s="58" t="n">
        <v>5</v>
      </c>
      <c r="J12" s="58" t="n">
        <v>5</v>
      </c>
      <c r="K12" s="58" t="n">
        <v>3</v>
      </c>
      <c r="L12" s="60">
        <f>ROUND($B$3*G12+$B$4*H12+$B$5*I12+$B$6*J12+$B$7*K12+IF(F12&lt;=1,$B$8,0),2)</f>
        <v/>
      </c>
      <c r="M12" s="58">
        <f>IF(L12&gt;=4.3,"🥇 Top",IF(L12&gt;=3.8,"🥈 Fuerte",IF(L12&gt;=3.3,"🥉 Considerar","—")))</f>
        <v/>
      </c>
      <c r="N12" s="58" t="inlineStr">
        <is>
          <t>DAAD; Deutschlandstipendium €3,600</t>
        </is>
      </c>
    </row>
    <row r="13" ht="15" customHeight="1" s="47">
      <c r="A13" s="58" t="n">
        <v>2</v>
      </c>
      <c r="B13" s="59" t="inlineStr">
        <is>
          <t>Univ. of Mannheim</t>
        </is>
      </c>
      <c r="C13" s="58" t="inlineStr">
        <is>
          <t>MSc Economics</t>
        </is>
      </c>
      <c r="D13" s="58" t="inlineStr">
        <is>
          <t>🇩🇪</t>
        </is>
      </c>
      <c r="E13" s="58" t="inlineStr">
        <is>
          <t>Directa</t>
        </is>
      </c>
      <c r="F13" s="58" t="n">
        <v>2</v>
      </c>
      <c r="G13" s="58" t="n">
        <v>5</v>
      </c>
      <c r="H13" s="58" t="n">
        <v>5</v>
      </c>
      <c r="I13" s="58" t="n">
        <v>5</v>
      </c>
      <c r="J13" s="58" t="n">
        <v>5</v>
      </c>
      <c r="K13" s="58" t="n">
        <v>3</v>
      </c>
      <c r="L13" s="60">
        <f>ROUND($B$3*G13+$B$4*H13+$B$5*I13+$B$6*J13+$B$7*K13+IF(F13&lt;=1,$B$8,0),2)</f>
        <v/>
      </c>
      <c r="M13" s="58">
        <f>IF(L13&gt;=4.3,"🥇 Top",IF(L13&gt;=3.8,"🥈 Fuerte",IF(L13&gt;=3.3,"🥉 Considerar","—")))</f>
        <v/>
      </c>
      <c r="N13" s="58" t="inlineStr">
        <is>
          <t>DAAD; Mannheim merit</t>
        </is>
      </c>
    </row>
    <row r="14" ht="23.25" customHeight="1" s="47">
      <c r="A14" s="58" t="n">
        <v>3</v>
      </c>
      <c r="B14" s="59" t="inlineStr">
        <is>
          <t>Paris School of Economics</t>
        </is>
      </c>
      <c r="C14" s="58" t="inlineStr">
        <is>
          <t>Master PPD (Public Policy &amp; Development)</t>
        </is>
      </c>
      <c r="D14" s="58" t="inlineStr">
        <is>
          <t>🇫🇷</t>
        </is>
      </c>
      <c r="E14" s="58" t="inlineStr">
        <is>
          <t>Directa</t>
        </is>
      </c>
      <c r="F14" s="58" t="n">
        <v>2</v>
      </c>
      <c r="G14" s="58" t="n">
        <v>5</v>
      </c>
      <c r="H14" s="58" t="n">
        <v>5</v>
      </c>
      <c r="I14" s="58" t="n">
        <v>5</v>
      </c>
      <c r="J14" s="58" t="n">
        <v>5</v>
      </c>
      <c r="K14" s="58" t="n">
        <v>3</v>
      </c>
      <c r="L14" s="60">
        <f>ROUND($B$3*G14+$B$4*H14+$B$5*I14+$B$6*J14+$B$7*K14+IF(F14&lt;=1,$B$8,0),2)</f>
        <v/>
      </c>
      <c r="M14" s="58">
        <f>IF(L14&gt;=4.3,"🥇 Top",IF(L14&gt;=3.8,"🥈 Fuerte",IF(L14&gt;=3.3,"🥉 Considerar","—")))</f>
        <v/>
      </c>
      <c r="N14" s="58" t="inlineStr">
        <is>
          <t>PSE Excellence; Eiffel</t>
        </is>
      </c>
    </row>
    <row r="15" ht="23.25" customHeight="1" s="47">
      <c r="A15" s="58" t="n">
        <v>4</v>
      </c>
      <c r="B15" s="59" t="inlineStr">
        <is>
          <t>Groningen (RUG)</t>
        </is>
      </c>
      <c r="C15" s="58" t="inlineStr">
        <is>
          <t>MSc Economics (focus area: Monetary Policy)</t>
        </is>
      </c>
      <c r="D15" s="58" t="inlineStr">
        <is>
          <t>Países Bajos</t>
        </is>
      </c>
      <c r="E15" s="58" t="inlineStr">
        <is>
          <t>Inova</t>
        </is>
      </c>
      <c r="F15" s="58" t="n">
        <v>1</v>
      </c>
      <c r="G15" s="58" t="n">
        <v>5</v>
      </c>
      <c r="H15" s="58" t="n">
        <v>5</v>
      </c>
      <c r="I15" s="58" t="n">
        <v>5</v>
      </c>
      <c r="J15" s="58" t="n">
        <v>3</v>
      </c>
      <c r="K15" s="58" t="n">
        <v>4</v>
      </c>
      <c r="L15" s="60">
        <f>ROUND($B$3*G15+$B$4*H15+$B$5*I15+$B$6*J15+$B$7*K15+IF(F15&lt;=1,$B$8,0),2)</f>
        <v/>
      </c>
      <c r="M15" s="58">
        <f>IF(L15&gt;=4.3,"🥇 Top",IF(L15&gt;=3.8,"🥈 Fuerte",IF(L15&gt;=3.3,"🥉 Considerar","—")))</f>
        <v/>
      </c>
      <c r="N15" s="58" t="inlineStr">
        <is>
          <t>NL Scholarship €5,000 Eric Bleumink (ambos solo non-EU — NO aplica)</t>
        </is>
      </c>
    </row>
    <row r="16" ht="23.25" customHeight="1" s="47">
      <c r="A16" s="58" t="n">
        <v>5</v>
      </c>
      <c r="B16" s="59" t="inlineStr">
        <is>
          <t>Groningen (RUG)</t>
        </is>
      </c>
      <c r="C16" s="58" t="inlineStr">
        <is>
          <t>MSc International Economics &amp; Sustainable Development</t>
        </is>
      </c>
      <c r="D16" s="58" t="inlineStr">
        <is>
          <t>Países Bajos</t>
        </is>
      </c>
      <c r="E16" s="58" t="inlineStr">
        <is>
          <t>Inova</t>
        </is>
      </c>
      <c r="F16" s="58" t="n">
        <v>1</v>
      </c>
      <c r="G16" s="58" t="n">
        <v>5</v>
      </c>
      <c r="H16" s="58" t="n">
        <v>5</v>
      </c>
      <c r="I16" s="58" t="n">
        <v>5</v>
      </c>
      <c r="J16" s="58" t="n">
        <v>3</v>
      </c>
      <c r="K16" s="58" t="n">
        <v>4</v>
      </c>
      <c r="L16" s="60">
        <f>ROUND($B$3*G16+$B$4*H16+$B$5*I16+$B$6*J16+$B$7*K16+IF(F16&lt;=1,$B$8,0),2)</f>
        <v/>
      </c>
      <c r="M16" s="58">
        <f>IF(L16&gt;=4.3,"🥇 Top",IF(L16&gt;=3.8,"🥈 Fuerte",IF(L16&gt;=3.3,"🥉 Considerar","—")))</f>
        <v/>
      </c>
      <c r="N16" s="58" t="inlineStr">
        <is>
          <t>Becas solo non-EU — NO aplican</t>
        </is>
      </c>
    </row>
    <row r="17" ht="23.25" customHeight="1" s="47">
      <c r="A17" s="58" t="n">
        <v>6</v>
      </c>
      <c r="B17" s="59" t="inlineStr">
        <is>
          <t>Groningen (RUG)</t>
        </is>
      </c>
      <c r="C17" s="58" t="inlineStr">
        <is>
          <t>MSc Econometrics, OR &amp; Actuarial Studies (perfil Econometrics)</t>
        </is>
      </c>
      <c r="D17" s="58" t="inlineStr">
        <is>
          <t>Países Bajos</t>
        </is>
      </c>
      <c r="E17" s="58" t="inlineStr">
        <is>
          <t>Inova</t>
        </is>
      </c>
      <c r="F17" s="58" t="n">
        <v>1</v>
      </c>
      <c r="G17" s="58" t="n">
        <v>5</v>
      </c>
      <c r="H17" s="58" t="n">
        <v>5</v>
      </c>
      <c r="I17" s="58" t="n">
        <v>5</v>
      </c>
      <c r="J17" s="58" t="n">
        <v>3</v>
      </c>
      <c r="K17" s="58" t="n">
        <v>4</v>
      </c>
      <c r="L17" s="60">
        <f>ROUND($B$3*G17+$B$4*H17+$B$5*I17+$B$6*J17+$B$7*K17+IF(F17&lt;=1,$B$8,0),2)</f>
        <v/>
      </c>
      <c r="M17" s="58">
        <f>IF(L17&gt;=4.3,"🥇 Top",IF(L17&gt;=3.8,"🥈 Fuerte",IF(L17&gt;=3.3,"🥉 Considerar","—")))</f>
        <v/>
      </c>
      <c r="N17" s="58" t="inlineStr">
        <is>
          <t>Solo non-EU</t>
        </is>
      </c>
    </row>
    <row r="18" ht="23.25" customHeight="1" s="47">
      <c r="A18" s="58" t="n">
        <v>7</v>
      </c>
      <c r="B18" s="59" t="inlineStr">
        <is>
          <t>Radboud (Nijmegen)</t>
        </is>
      </c>
      <c r="C18" s="58" t="inlineStr">
        <is>
          <t>MSc Economics (spec. Financial Economics)</t>
        </is>
      </c>
      <c r="D18" s="58" t="inlineStr">
        <is>
          <t>Países Bajos</t>
        </is>
      </c>
      <c r="E18" s="58" t="inlineStr">
        <is>
          <t>Inova</t>
        </is>
      </c>
      <c r="F18" s="58" t="n">
        <v>1</v>
      </c>
      <c r="G18" s="58" t="n">
        <v>5</v>
      </c>
      <c r="H18" s="58" t="n">
        <v>5</v>
      </c>
      <c r="I18" s="58" t="n">
        <v>5</v>
      </c>
      <c r="J18" s="58" t="n">
        <v>3</v>
      </c>
      <c r="K18" s="58" t="n">
        <v>4</v>
      </c>
      <c r="L18" s="60">
        <f>ROUND($B$3*G18+$B$4*H18+$B$5*I18+$B$6*J18+$B$7*K18+IF(F18&lt;=1,$B$8,0),2)</f>
        <v/>
      </c>
      <c r="M18" s="58">
        <f>IF(L18&gt;=4.3,"🥇 Top",IF(L18&gt;=3.8,"🥈 Fuerte",IF(L18&gt;=3.3,"🥉 Considerar","—")))</f>
        <v/>
      </c>
      <c r="N18" s="58" t="inlineStr">
        <is>
          <t>Radboud Scholarship Programme (solo non-EU)</t>
        </is>
      </c>
    </row>
    <row r="19" ht="23.25" customHeight="1" s="47">
      <c r="A19" s="58" t="n">
        <v>8</v>
      </c>
      <c r="B19" s="59" t="inlineStr">
        <is>
          <t>Radboud (Nijmegen)</t>
        </is>
      </c>
      <c r="C19" s="58" t="inlineStr">
        <is>
          <t>MSc Economics (spec. Intl Econ &amp; Development)</t>
        </is>
      </c>
      <c r="D19" s="58" t="inlineStr">
        <is>
          <t>Países Bajos</t>
        </is>
      </c>
      <c r="E19" s="58" t="inlineStr">
        <is>
          <t>Inova</t>
        </is>
      </c>
      <c r="F19" s="58" t="n">
        <v>1</v>
      </c>
      <c r="G19" s="58" t="n">
        <v>5</v>
      </c>
      <c r="H19" s="58" t="n">
        <v>5</v>
      </c>
      <c r="I19" s="58" t="n">
        <v>5</v>
      </c>
      <c r="J19" s="58" t="n">
        <v>3</v>
      </c>
      <c r="K19" s="58" t="n">
        <v>4</v>
      </c>
      <c r="L19" s="60">
        <f>ROUND($B$3*G19+$B$4*H19+$B$5*I19+$B$6*J19+$B$7*K19+IF(F19&lt;=1,$B$8,0),2)</f>
        <v/>
      </c>
      <c r="M19" s="58">
        <f>IF(L19&gt;=4.3,"🥇 Top",IF(L19&gt;=3.8,"🥈 Fuerte",IF(L19&gt;=3.3,"🥉 Considerar","—")))</f>
        <v/>
      </c>
      <c r="N19" s="58" t="inlineStr">
        <is>
          <t>Solo non-EU</t>
        </is>
      </c>
    </row>
    <row r="20" ht="15" customHeight="1" s="47">
      <c r="A20" s="58" t="n">
        <v>9</v>
      </c>
      <c r="B20" s="59" t="inlineStr">
        <is>
          <t>Maastricht</t>
        </is>
      </c>
      <c r="C20" s="58" t="inlineStr">
        <is>
          <t>MSc Financial Economics</t>
        </is>
      </c>
      <c r="D20" s="58" t="inlineStr">
        <is>
          <t>Países Bajos</t>
        </is>
      </c>
      <c r="E20" s="58" t="inlineStr">
        <is>
          <t>Directa</t>
        </is>
      </c>
      <c r="F20" s="58" t="n">
        <v>1</v>
      </c>
      <c r="G20" s="58" t="n">
        <v>5</v>
      </c>
      <c r="H20" s="58" t="n">
        <v>5</v>
      </c>
      <c r="I20" s="58" t="n">
        <v>5</v>
      </c>
      <c r="J20" s="58" t="n">
        <v>3</v>
      </c>
      <c r="K20" s="58" t="n">
        <v>4</v>
      </c>
      <c r="L20" s="60">
        <f>ROUND($B$3*G20+$B$4*H20+$B$5*I20+$B$6*J20+$B$7*K20+IF(F20&lt;=1,$B$8,0),2)</f>
        <v/>
      </c>
      <c r="M20" s="58">
        <f>IF(L20&gt;=4.3,"🥇 Top",IF(L20&gt;=3.8,"🥈 Fuerte",IF(L20&gt;=3.3,"🥉 Considerar","—")))</f>
        <v/>
      </c>
      <c r="N20" s="58" t="inlineStr">
        <is>
          <t>Solo non-EU</t>
        </is>
      </c>
    </row>
    <row r="21" ht="23.25" customHeight="1" s="47">
      <c r="A21" s="58" t="n">
        <v>10</v>
      </c>
      <c r="B21" s="59" t="inlineStr">
        <is>
          <t>Maastricht</t>
        </is>
      </c>
      <c r="C21" s="58" t="inlineStr">
        <is>
          <t>MSc Econometrics &amp; Operations Research</t>
        </is>
      </c>
      <c r="D21" s="58" t="inlineStr">
        <is>
          <t>Países Bajos</t>
        </is>
      </c>
      <c r="E21" s="58" t="inlineStr">
        <is>
          <t>Directa</t>
        </is>
      </c>
      <c r="F21" s="58" t="n">
        <v>1</v>
      </c>
      <c r="G21" s="58" t="n">
        <v>5</v>
      </c>
      <c r="H21" s="58" t="n">
        <v>5</v>
      </c>
      <c r="I21" s="58" t="n">
        <v>5</v>
      </c>
      <c r="J21" s="58" t="n">
        <v>3</v>
      </c>
      <c r="K21" s="58" t="n">
        <v>4</v>
      </c>
      <c r="L21" s="60">
        <f>ROUND($B$3*G21+$B$4*H21+$B$5*I21+$B$6*J21+$B$7*K21+IF(F21&lt;=1,$B$8,0),2)</f>
        <v/>
      </c>
      <c r="M21" s="58">
        <f>IF(L21&gt;=4.3,"🥇 Top",IF(L21&gt;=3.8,"🥈 Fuerte",IF(L21&gt;=3.3,"🥉 Considerar","—")))</f>
        <v/>
      </c>
      <c r="N21" s="58" t="inlineStr">
        <is>
          <t>Solo non-EU</t>
        </is>
      </c>
    </row>
    <row r="22" ht="23.25" customHeight="1" s="47">
      <c r="A22" s="58" t="n">
        <v>11</v>
      </c>
      <c r="B22" s="59" t="inlineStr">
        <is>
          <t>Tilburg</t>
        </is>
      </c>
      <c r="C22" s="58" t="inlineStr">
        <is>
          <t>MSc Economics</t>
        </is>
      </c>
      <c r="D22" s="58" t="inlineStr">
        <is>
          <t>Países Bajos</t>
        </is>
      </c>
      <c r="E22" s="58" t="inlineStr">
        <is>
          <t>Directa</t>
        </is>
      </c>
      <c r="F22" s="58" t="n">
        <v>1</v>
      </c>
      <c r="G22" s="58" t="n">
        <v>4</v>
      </c>
      <c r="H22" s="58" t="n">
        <v>5</v>
      </c>
      <c r="I22" s="58" t="n">
        <v>5</v>
      </c>
      <c r="J22" s="58" t="n">
        <v>4</v>
      </c>
      <c r="K22" s="58" t="n">
        <v>4</v>
      </c>
      <c r="L22" s="60">
        <f>ROUND($B$3*G22+$B$4*H22+$B$5*I22+$B$6*J22+$B$7*K22+IF(F22&lt;=1,$B$8,0),2)</f>
        <v/>
      </c>
      <c r="M22" s="58">
        <f>IF(L22&gt;=4.3,"🥇 Top",IF(L22&gt;=3.8,"🥈 Fuerte",IF(L22&gt;=3.3,"🥉 Considerar","—")))</f>
        <v/>
      </c>
      <c r="N22" s="58" t="inlineStr">
        <is>
          <t>Tilburg Univ Scholarship (TUS): tuition + €10,000 (competitiva, alguna</t>
        </is>
      </c>
    </row>
    <row r="23" ht="15" customHeight="1" s="47">
      <c r="A23" s="58" t="n">
        <v>12</v>
      </c>
      <c r="B23" s="59" t="inlineStr">
        <is>
          <t>Goethe Univ. Frankfurt</t>
        </is>
      </c>
      <c r="C23" s="58" t="inlineStr">
        <is>
          <t>MSc Money, Macro &amp; Finance</t>
        </is>
      </c>
      <c r="D23" s="58" t="inlineStr">
        <is>
          <t>🇩🇪</t>
        </is>
      </c>
      <c r="E23" s="58" t="inlineStr">
        <is>
          <t>Directa</t>
        </is>
      </c>
      <c r="F23" s="58" t="n">
        <v>2</v>
      </c>
      <c r="G23" s="58" t="n">
        <v>5</v>
      </c>
      <c r="H23" s="58" t="n">
        <v>5</v>
      </c>
      <c r="I23" s="58" t="n">
        <v>5</v>
      </c>
      <c r="J23" s="58" t="n">
        <v>4</v>
      </c>
      <c r="K23" s="58" t="n">
        <v>4</v>
      </c>
      <c r="L23" s="60">
        <f>ROUND($B$3*G23+$B$4*H23+$B$5*I23+$B$6*J23+$B$7*K23+IF(F23&lt;=1,$B$8,0),2)</f>
        <v/>
      </c>
      <c r="M23" s="58">
        <f>IF(L23&gt;=4.3,"🥇 Top",IF(L23&gt;=3.8,"🥈 Fuerte",IF(L23&gt;=3.3,"🥉 Considerar","—")))</f>
        <v/>
      </c>
      <c r="N23" s="58" t="inlineStr">
        <is>
          <t>DAAD; GSEFM</t>
        </is>
      </c>
    </row>
    <row r="24" ht="15" customHeight="1" s="47">
      <c r="A24" s="58" t="n">
        <v>13</v>
      </c>
      <c r="B24" s="59" t="inlineStr">
        <is>
          <t>Aarhus University</t>
        </is>
      </c>
      <c r="C24" s="58" t="inlineStr">
        <is>
          <t>MSc Quantitative Economics</t>
        </is>
      </c>
      <c r="D24" s="58" t="inlineStr">
        <is>
          <t>🇩🇰</t>
        </is>
      </c>
      <c r="E24" s="58" t="inlineStr">
        <is>
          <t>Directa</t>
        </is>
      </c>
      <c r="F24" s="58" t="n">
        <v>2</v>
      </c>
      <c r="G24" s="58" t="n">
        <v>5</v>
      </c>
      <c r="H24" s="58" t="n">
        <v>5</v>
      </c>
      <c r="I24" s="58" t="n">
        <v>5</v>
      </c>
      <c r="J24" s="58" t="n">
        <v>4</v>
      </c>
      <c r="K24" s="58" t="n">
        <v>4</v>
      </c>
      <c r="L24" s="60">
        <f>ROUND($B$3*G24+$B$4*H24+$B$5*I24+$B$6*J24+$B$7*K24+IF(F24&lt;=1,$B$8,0),2)</f>
        <v/>
      </c>
      <c r="M24" s="58">
        <f>IF(L24&gt;=4.3,"🥇 Top",IF(L24&gt;=3.8,"🥈 Fuerte",IF(L24&gt;=3.3,"🥉 Considerar","—")))</f>
        <v/>
      </c>
      <c r="N24" s="58" t="inlineStr">
        <is>
          <t>Gratis EU/EEA</t>
        </is>
      </c>
    </row>
    <row r="25" ht="23.25" customHeight="1" s="47">
      <c r="A25" s="58" t="n">
        <v>14</v>
      </c>
      <c r="B25" s="59" t="inlineStr">
        <is>
          <t>Paris School of Economics</t>
        </is>
      </c>
      <c r="C25" s="58" t="inlineStr">
        <is>
          <t>Master APE (Analysis &amp; Policy in Economics)</t>
        </is>
      </c>
      <c r="D25" s="58" t="inlineStr">
        <is>
          <t>🇫🇷</t>
        </is>
      </c>
      <c r="E25" s="58" t="inlineStr">
        <is>
          <t>Directa</t>
        </is>
      </c>
      <c r="F25" s="58" t="n">
        <v>2</v>
      </c>
      <c r="G25" s="58" t="n">
        <v>5</v>
      </c>
      <c r="H25" s="58" t="n">
        <v>5</v>
      </c>
      <c r="I25" s="58" t="n">
        <v>5</v>
      </c>
      <c r="J25" s="58" t="n">
        <v>5</v>
      </c>
      <c r="K25" s="58" t="n">
        <v>2</v>
      </c>
      <c r="L25" s="60">
        <f>ROUND($B$3*G25+$B$4*H25+$B$5*I25+$B$6*J25+$B$7*K25+IF(F25&lt;=1,$B$8,0),2)</f>
        <v/>
      </c>
      <c r="M25" s="58">
        <f>IF(L25&gt;=4.3,"🥇 Top",IF(L25&gt;=3.8,"🥈 Fuerte",IF(L25&gt;=3.3,"🥉 Considerar","—")))</f>
        <v/>
      </c>
      <c r="N25" s="58" t="inlineStr">
        <is>
          <t>PSE Excellence €12,000; Eiffel</t>
        </is>
      </c>
    </row>
    <row r="26" ht="23.25" customHeight="1" s="47">
      <c r="A26" s="58" t="n">
        <v>15</v>
      </c>
      <c r="B26" s="59" t="inlineStr">
        <is>
          <t>KU Leuven</t>
        </is>
      </c>
      <c r="C26" s="58" t="inlineStr">
        <is>
          <t>Master of Economics / Adv. Studies in Economics</t>
        </is>
      </c>
      <c r="D26" s="58" t="inlineStr">
        <is>
          <t>🇧🇪</t>
        </is>
      </c>
      <c r="E26" s="58" t="inlineStr">
        <is>
          <t>Directa</t>
        </is>
      </c>
      <c r="F26" s="58" t="n">
        <v>1</v>
      </c>
      <c r="G26" s="58" t="n">
        <v>4</v>
      </c>
      <c r="H26" s="58" t="n">
        <v>5</v>
      </c>
      <c r="I26" s="58" t="n">
        <v>5</v>
      </c>
      <c r="J26" s="58" t="n">
        <v>4</v>
      </c>
      <c r="K26" s="58" t="n">
        <v>4</v>
      </c>
      <c r="L26" s="60">
        <f>ROUND($B$3*G26+$B$4*H26+$B$5*I26+$B$6*J26+$B$7*K26+IF(F26&lt;=1,$B$8,0),2)</f>
        <v/>
      </c>
      <c r="M26" s="58">
        <f>IF(L26&gt;=4.3,"🥇 Top",IF(L26&gt;=3.8,"🥈 Fuerte",IF(L26&gt;=3.3,"🥉 Considerar","—")))</f>
        <v/>
      </c>
      <c r="N26" s="58" t="inlineStr">
        <is>
          <t>VLIR-UOS; KU Leuven</t>
        </is>
      </c>
    </row>
    <row r="27" ht="15" customHeight="1" s="47">
      <c r="A27" s="58" t="n">
        <v>16</v>
      </c>
      <c r="B27" s="59" t="inlineStr">
        <is>
          <t>Stockholm University</t>
        </is>
      </c>
      <c r="C27" s="58" t="inlineStr">
        <is>
          <t>MSc Economics</t>
        </is>
      </c>
      <c r="D27" s="58" t="inlineStr">
        <is>
          <t>🇸🇪</t>
        </is>
      </c>
      <c r="E27" s="58" t="inlineStr">
        <is>
          <t>Directa</t>
        </is>
      </c>
      <c r="F27" s="58" t="n">
        <v>2</v>
      </c>
      <c r="G27" s="58" t="n">
        <v>5</v>
      </c>
      <c r="H27" s="58" t="n">
        <v>5</v>
      </c>
      <c r="I27" s="58" t="n">
        <v>5</v>
      </c>
      <c r="J27" s="58" t="n">
        <v>4</v>
      </c>
      <c r="K27" s="58" t="n">
        <v>3</v>
      </c>
      <c r="L27" s="60">
        <f>ROUND($B$3*G27+$B$4*H27+$B$5*I27+$B$6*J27+$B$7*K27+IF(F27&lt;=1,$B$8,0),2)</f>
        <v/>
      </c>
      <c r="M27" s="58">
        <f>IF(L27&gt;=4.3,"🥇 Top",IF(L27&gt;=3.8,"🥈 Fuerte",IF(L27&gt;=3.3,"🥉 Considerar","—")))</f>
        <v/>
      </c>
      <c r="N27" s="58" t="inlineStr">
        <is>
          <t>Gratis EU</t>
        </is>
      </c>
    </row>
    <row r="28" ht="23.25" customHeight="1" s="47">
      <c r="A28" s="58" t="n">
        <v>17</v>
      </c>
      <c r="B28" s="59" t="inlineStr">
        <is>
          <t>Stockholm School of Economics</t>
        </is>
      </c>
      <c r="C28" s="58" t="inlineStr">
        <is>
          <t>MSc Economics</t>
        </is>
      </c>
      <c r="D28" s="58" t="inlineStr">
        <is>
          <t>🇸🇪</t>
        </is>
      </c>
      <c r="E28" s="58" t="inlineStr">
        <is>
          <t>Directa</t>
        </is>
      </c>
      <c r="F28" s="58" t="n">
        <v>2</v>
      </c>
      <c r="G28" s="58" t="n">
        <v>4</v>
      </c>
      <c r="H28" s="58" t="n">
        <v>5</v>
      </c>
      <c r="I28" s="58" t="n">
        <v>5</v>
      </c>
      <c r="J28" s="58" t="n">
        <v>5</v>
      </c>
      <c r="K28" s="58" t="n">
        <v>3</v>
      </c>
      <c r="L28" s="60">
        <f>ROUND($B$3*G28+$B$4*H28+$B$5*I28+$B$6*J28+$B$7*K28+IF(F28&lt;=1,$B$8,0),2)</f>
        <v/>
      </c>
      <c r="M28" s="58">
        <f>IF(L28&gt;=4.3,"🥇 Top",IF(L28&gt;=3.8,"🥈 Fuerte",IF(L28&gt;=3.3,"🥉 Considerar","—")))</f>
        <v/>
      </c>
      <c r="N28" s="58" t="inlineStr">
        <is>
          <t>SSE merit (no necesaria)</t>
        </is>
      </c>
    </row>
    <row r="29" ht="15" customHeight="1" s="47">
      <c r="A29" s="58" t="n">
        <v>18</v>
      </c>
      <c r="B29" s="59" t="inlineStr">
        <is>
          <t>Groningen (RUG)</t>
        </is>
      </c>
      <c r="C29" s="58" t="inlineStr">
        <is>
          <t>MSc Finance</t>
        </is>
      </c>
      <c r="D29" s="58" t="inlineStr">
        <is>
          <t>Países Bajos</t>
        </is>
      </c>
      <c r="E29" s="58" t="inlineStr">
        <is>
          <t>Inova</t>
        </is>
      </c>
      <c r="F29" s="58" t="n">
        <v>1</v>
      </c>
      <c r="G29" s="58" t="n">
        <v>4</v>
      </c>
      <c r="H29" s="58" t="n">
        <v>5</v>
      </c>
      <c r="I29" s="58" t="n">
        <v>5</v>
      </c>
      <c r="J29" s="58" t="n">
        <v>3</v>
      </c>
      <c r="K29" s="58" t="n">
        <v>4</v>
      </c>
      <c r="L29" s="60">
        <f>ROUND($B$3*G29+$B$4*H29+$B$5*I29+$B$6*J29+$B$7*K29+IF(F29&lt;=1,$B$8,0),2)</f>
        <v/>
      </c>
      <c r="M29" s="58">
        <f>IF(L29&gt;=4.3,"🥇 Top",IF(L29&gt;=3.8,"🥈 Fuerte",IF(L29&gt;=3.3,"🥉 Considerar","—")))</f>
        <v/>
      </c>
      <c r="N29" s="58" t="inlineStr">
        <is>
          <t>Solo non-EU</t>
        </is>
      </c>
    </row>
    <row r="30" ht="23.25" customHeight="1" s="47">
      <c r="A30" s="58" t="n">
        <v>19</v>
      </c>
      <c r="B30" s="59" t="inlineStr">
        <is>
          <t>Maastricht</t>
        </is>
      </c>
      <c r="C30" s="58" t="inlineStr">
        <is>
          <t>Research Master Econ &amp; Financial Research (2 años, PhD-track)</t>
        </is>
      </c>
      <c r="D30" s="58" t="inlineStr">
        <is>
          <t>Países Bajos</t>
        </is>
      </c>
      <c r="E30" s="58" t="inlineStr">
        <is>
          <t>Directa</t>
        </is>
      </c>
      <c r="F30" s="58" t="n">
        <v>2</v>
      </c>
      <c r="G30" s="58" t="n">
        <v>5</v>
      </c>
      <c r="H30" s="58" t="n">
        <v>5</v>
      </c>
      <c r="I30" s="58" t="n">
        <v>5</v>
      </c>
      <c r="J30" s="58" t="n">
        <v>3</v>
      </c>
      <c r="K30" s="58" t="n">
        <v>4</v>
      </c>
      <c r="L30" s="60">
        <f>ROUND($B$3*G30+$B$4*H30+$B$5*I30+$B$6*J30+$B$7*K30+IF(F30&lt;=1,$B$8,0),2)</f>
        <v/>
      </c>
      <c r="M30" s="58">
        <f>IF(L30&gt;=4.3,"🥇 Top",IF(L30&gt;=3.8,"🥈 Fuerte",IF(L30&gt;=3.3,"🥉 Considerar","—")))</f>
        <v/>
      </c>
      <c r="N30" s="58" t="inlineStr">
        <is>
          <t>Solo non-EU</t>
        </is>
      </c>
    </row>
    <row r="31" ht="15" customHeight="1" s="47">
      <c r="A31" s="58" t="n">
        <v>20</v>
      </c>
      <c r="B31" s="59" t="inlineStr">
        <is>
          <t>Lund University</t>
        </is>
      </c>
      <c r="C31" s="58" t="inlineStr">
        <is>
          <t>MSc Economics / Int'l Development</t>
        </is>
      </c>
      <c r="D31" s="58" t="inlineStr">
        <is>
          <t>🇸🇪</t>
        </is>
      </c>
      <c r="E31" s="58" t="inlineStr">
        <is>
          <t>Directa</t>
        </is>
      </c>
      <c r="F31" s="58" t="n">
        <v>2</v>
      </c>
      <c r="G31" s="58" t="n">
        <v>5</v>
      </c>
      <c r="H31" s="58" t="n">
        <v>5</v>
      </c>
      <c r="I31" s="58" t="n">
        <v>5</v>
      </c>
      <c r="J31" s="58" t="n">
        <v>3</v>
      </c>
      <c r="K31" s="58" t="n">
        <v>4</v>
      </c>
      <c r="L31" s="60">
        <f>ROUND($B$3*G31+$B$4*H31+$B$5*I31+$B$6*J31+$B$7*K31+IF(F31&lt;=1,$B$8,0),2)</f>
        <v/>
      </c>
      <c r="M31" s="58">
        <f>IF(L31&gt;=4.3,"🥇 Top",IF(L31&gt;=3.8,"🥈 Fuerte",IF(L31&gt;=3.3,"🥉 Considerar","—")))</f>
        <v/>
      </c>
      <c r="N31" s="58" t="inlineStr">
        <is>
          <t>Gratis EU</t>
        </is>
      </c>
    </row>
    <row r="32" ht="15" customHeight="1" s="47">
      <c r="A32" s="58" t="n">
        <v>21</v>
      </c>
      <c r="B32" s="59" t="inlineStr">
        <is>
          <t>Humboldt Univ. Berlin</t>
        </is>
      </c>
      <c r="C32" s="58" t="inlineStr">
        <is>
          <t>MSc Economics / MEMS</t>
        </is>
      </c>
      <c r="D32" s="58" t="inlineStr">
        <is>
          <t>🇩🇪</t>
        </is>
      </c>
      <c r="E32" s="58" t="inlineStr">
        <is>
          <t>Directa</t>
        </is>
      </c>
      <c r="F32" s="58" t="n">
        <v>2</v>
      </c>
      <c r="G32" s="58" t="n">
        <v>4</v>
      </c>
      <c r="H32" s="58" t="n">
        <v>5</v>
      </c>
      <c r="I32" s="58" t="n">
        <v>5</v>
      </c>
      <c r="J32" s="58" t="n">
        <v>4</v>
      </c>
      <c r="K32" s="58" t="n">
        <v>4</v>
      </c>
      <c r="L32" s="60">
        <f>ROUND($B$3*G32+$B$4*H32+$B$5*I32+$B$6*J32+$B$7*K32+IF(F32&lt;=1,$B$8,0),2)</f>
        <v/>
      </c>
      <c r="M32" s="58">
        <f>IF(L32&gt;=4.3,"🥇 Top",IF(L32&gt;=3.8,"🥈 Fuerte",IF(L32&gt;=3.3,"🥉 Considerar","—")))</f>
        <v/>
      </c>
      <c r="N32" s="58" t="inlineStr">
        <is>
          <t>DAAD; Berlin School of Econ</t>
        </is>
      </c>
    </row>
    <row r="33" ht="15" customHeight="1" s="47">
      <c r="A33" s="58" t="n">
        <v>22</v>
      </c>
      <c r="B33" s="59" t="inlineStr">
        <is>
          <t>Uppsala University</t>
        </is>
      </c>
      <c r="C33" s="58" t="inlineStr">
        <is>
          <t>MSc Economics</t>
        </is>
      </c>
      <c r="D33" s="58" t="inlineStr">
        <is>
          <t>🇸🇪</t>
        </is>
      </c>
      <c r="E33" s="58" t="inlineStr">
        <is>
          <t>Directa</t>
        </is>
      </c>
      <c r="F33" s="58" t="n">
        <v>2</v>
      </c>
      <c r="G33" s="58" t="n">
        <v>4</v>
      </c>
      <c r="H33" s="58" t="n">
        <v>5</v>
      </c>
      <c r="I33" s="58" t="n">
        <v>5</v>
      </c>
      <c r="J33" s="58" t="n">
        <v>4</v>
      </c>
      <c r="K33" s="58" t="n">
        <v>4</v>
      </c>
      <c r="L33" s="60">
        <f>ROUND($B$3*G33+$B$4*H33+$B$5*I33+$B$6*J33+$B$7*K33+IF(F33&lt;=1,$B$8,0),2)</f>
        <v/>
      </c>
      <c r="M33" s="58">
        <f>IF(L33&gt;=4.3,"🥇 Top",IF(L33&gt;=3.8,"🥈 Fuerte",IF(L33&gt;=3.3,"🥉 Considerar","—")))</f>
        <v/>
      </c>
      <c r="N33" s="58" t="inlineStr">
        <is>
          <t>Gratis EU</t>
        </is>
      </c>
    </row>
    <row r="34" ht="23.25" customHeight="1" s="47">
      <c r="A34" s="58" t="n">
        <v>23</v>
      </c>
      <c r="B34" s="59" t="inlineStr">
        <is>
          <t>NHH Norwegian School of Econ</t>
        </is>
      </c>
      <c r="C34" s="58" t="inlineStr">
        <is>
          <t>MSc Economics &amp; Business Admin (Econ major)</t>
        </is>
      </c>
      <c r="D34" s="58" t="inlineStr">
        <is>
          <t>🇳🇴</t>
        </is>
      </c>
      <c r="E34" s="58" t="inlineStr">
        <is>
          <t>Directa</t>
        </is>
      </c>
      <c r="F34" s="58" t="n">
        <v>2</v>
      </c>
      <c r="G34" s="58" t="n">
        <v>4</v>
      </c>
      <c r="H34" s="58" t="n">
        <v>5</v>
      </c>
      <c r="I34" s="58" t="n">
        <v>5</v>
      </c>
      <c r="J34" s="58" t="n">
        <v>4</v>
      </c>
      <c r="K34" s="58" t="n">
        <v>4</v>
      </c>
      <c r="L34" s="60">
        <f>ROUND($B$3*G34+$B$4*H34+$B$5*I34+$B$6*J34+$B$7*K34+IF(F34&lt;=1,$B$8,0),2)</f>
        <v/>
      </c>
      <c r="M34" s="58">
        <f>IF(L34&gt;=4.3,"🥇 Top",IF(L34&gt;=3.8,"🥈 Fuerte",IF(L34&gt;=3.3,"🥉 Considerar","—")))</f>
        <v/>
      </c>
      <c r="N34" s="58" t="inlineStr">
        <is>
          <t>Gratis EU/EEA</t>
        </is>
      </c>
    </row>
    <row r="35" ht="23.25" customHeight="1" s="47">
      <c r="A35" s="58" t="n">
        <v>24</v>
      </c>
      <c r="B35" s="59" t="inlineStr">
        <is>
          <t>Helsinki GSE (Univ. Helsinki)</t>
        </is>
      </c>
      <c r="C35" s="58" t="inlineStr">
        <is>
          <t>MSc Economics</t>
        </is>
      </c>
      <c r="D35" s="58" t="inlineStr">
        <is>
          <t>🇫🇮</t>
        </is>
      </c>
      <c r="E35" s="58" t="inlineStr">
        <is>
          <t>Directa</t>
        </is>
      </c>
      <c r="F35" s="58" t="n">
        <v>2</v>
      </c>
      <c r="G35" s="58" t="n">
        <v>4</v>
      </c>
      <c r="H35" s="58" t="n">
        <v>5</v>
      </c>
      <c r="I35" s="58" t="n">
        <v>5</v>
      </c>
      <c r="J35" s="58" t="n">
        <v>4</v>
      </c>
      <c r="K35" s="58" t="n">
        <v>4</v>
      </c>
      <c r="L35" s="60">
        <f>ROUND($B$3*G35+$B$4*H35+$B$5*I35+$B$6*J35+$B$7*K35+IF(F35&lt;=1,$B$8,0),2)</f>
        <v/>
      </c>
      <c r="M35" s="58">
        <f>IF(L35&gt;=4.3,"🥇 Top",IF(L35&gt;=3.8,"🥈 Fuerte",IF(L35&gt;=3.3,"🥉 Considerar","—")))</f>
        <v/>
      </c>
      <c r="N35" s="58" t="inlineStr">
        <is>
          <t>Gratis EU/EEA</t>
        </is>
      </c>
    </row>
    <row r="36" ht="23.25" customHeight="1" s="47">
      <c r="A36" s="58" t="n">
        <v>25</v>
      </c>
      <c r="B36" s="59" t="inlineStr">
        <is>
          <t>Groningen (RUG)</t>
        </is>
      </c>
      <c r="C36" s="58" t="inlineStr">
        <is>
          <t>Research Master Econ &amp; Business (2 años, PhD-track)</t>
        </is>
      </c>
      <c r="D36" s="58" t="inlineStr">
        <is>
          <t>Países Bajos</t>
        </is>
      </c>
      <c r="E36" s="58" t="inlineStr">
        <is>
          <t>Inova</t>
        </is>
      </c>
      <c r="F36" s="58" t="n">
        <v>2</v>
      </c>
      <c r="G36" s="58" t="n">
        <v>5</v>
      </c>
      <c r="H36" s="58" t="n">
        <v>5</v>
      </c>
      <c r="I36" s="58" t="n">
        <v>5</v>
      </c>
      <c r="J36" s="58" t="n">
        <v>3</v>
      </c>
      <c r="K36" s="58" t="n">
        <v>3</v>
      </c>
      <c r="L36" s="60">
        <f>ROUND($B$3*G36+$B$4*H36+$B$5*I36+$B$6*J36+$B$7*K36+IF(F36&lt;=1,$B$8,0),2)</f>
        <v/>
      </c>
      <c r="M36" s="58">
        <f>IF(L36&gt;=4.3,"🥇 Top",IF(L36&gt;=3.8,"🥈 Fuerte",IF(L36&gt;=3.3,"🥉 Considerar","—")))</f>
        <v/>
      </c>
      <c r="N36" s="58" t="inlineStr">
        <is>
          <t>Solo non-EU</t>
        </is>
      </c>
    </row>
    <row r="37" ht="15" customHeight="1" s="47">
      <c r="A37" s="58" t="n">
        <v>26</v>
      </c>
      <c r="B37" s="59" t="inlineStr">
        <is>
          <t>LMU Munich</t>
        </is>
      </c>
      <c r="C37" s="58" t="inlineStr">
        <is>
          <t>MSc Economics</t>
        </is>
      </c>
      <c r="D37" s="58" t="inlineStr">
        <is>
          <t>🇩🇪</t>
        </is>
      </c>
      <c r="E37" s="58" t="inlineStr">
        <is>
          <t>Directa</t>
        </is>
      </c>
      <c r="F37" s="58" t="n">
        <v>2</v>
      </c>
      <c r="G37" s="58" t="n">
        <v>4</v>
      </c>
      <c r="H37" s="58" t="n">
        <v>5</v>
      </c>
      <c r="I37" s="58" t="n">
        <v>5</v>
      </c>
      <c r="J37" s="58" t="n">
        <v>4</v>
      </c>
      <c r="K37" s="58" t="n">
        <v>3</v>
      </c>
      <c r="L37" s="60">
        <f>ROUND($B$3*G37+$B$4*H37+$B$5*I37+$B$6*J37+$B$7*K37+IF(F37&lt;=1,$B$8,0),2)</f>
        <v/>
      </c>
      <c r="M37" s="58">
        <f>IF(L37&gt;=4.3,"🥇 Top",IF(L37&gt;=3.8,"🥈 Fuerte",IF(L37&gt;=3.3,"🥉 Considerar","—")))</f>
        <v/>
      </c>
      <c r="N37" s="58" t="inlineStr">
        <is>
          <t>DAAD; Munich GSE</t>
        </is>
      </c>
    </row>
    <row r="38" ht="15" customHeight="1" s="47">
      <c r="A38" s="58" t="n">
        <v>27</v>
      </c>
      <c r="B38" s="59" t="inlineStr">
        <is>
          <t>University of Copenhagen</t>
        </is>
      </c>
      <c r="C38" s="58" t="inlineStr">
        <is>
          <t>MSc Economics</t>
        </is>
      </c>
      <c r="D38" s="58" t="inlineStr">
        <is>
          <t>🇩🇰</t>
        </is>
      </c>
      <c r="E38" s="58" t="inlineStr">
        <is>
          <t>Directa</t>
        </is>
      </c>
      <c r="F38" s="58" t="n">
        <v>2</v>
      </c>
      <c r="G38" s="58" t="n">
        <v>4</v>
      </c>
      <c r="H38" s="58" t="n">
        <v>5</v>
      </c>
      <c r="I38" s="58" t="n">
        <v>5</v>
      </c>
      <c r="J38" s="58" t="n">
        <v>4</v>
      </c>
      <c r="K38" s="58" t="n">
        <v>3</v>
      </c>
      <c r="L38" s="60">
        <f>ROUND($B$3*G38+$B$4*H38+$B$5*I38+$B$6*J38+$B$7*K38+IF(F38&lt;=1,$B$8,0),2)</f>
        <v/>
      </c>
      <c r="M38" s="58">
        <f>IF(L38&gt;=4.3,"🥇 Top",IF(L38&gt;=3.8,"🥈 Fuerte",IF(L38&gt;=3.3,"🥉 Considerar","—")))</f>
        <v/>
      </c>
      <c r="N38" s="58" t="inlineStr">
        <is>
          <t>Gratis EU/EEA</t>
        </is>
      </c>
    </row>
    <row r="39" ht="23.25" customHeight="1" s="47">
      <c r="A39" s="58" t="n">
        <v>28</v>
      </c>
      <c r="B39" s="59" t="inlineStr">
        <is>
          <t>Toulouse School of Economics</t>
        </is>
      </c>
      <c r="C39" s="58" t="inlineStr">
        <is>
          <t>M2 Economics (Econometrics / ETE / Finance)</t>
        </is>
      </c>
      <c r="D39" s="58" t="inlineStr">
        <is>
          <t>🇫🇷</t>
        </is>
      </c>
      <c r="E39" s="58" t="inlineStr">
        <is>
          <t>Directa</t>
        </is>
      </c>
      <c r="F39" s="58" t="n">
        <v>2</v>
      </c>
      <c r="G39" s="58" t="n">
        <v>5</v>
      </c>
      <c r="H39" s="58" t="n">
        <v>4</v>
      </c>
      <c r="I39" s="58" t="n">
        <v>4</v>
      </c>
      <c r="J39" s="58" t="n">
        <v>5</v>
      </c>
      <c r="K39" s="58" t="n">
        <v>3</v>
      </c>
      <c r="L39" s="60">
        <f>ROUND($B$3*G39+$B$4*H39+$B$5*I39+$B$6*J39+$B$7*K39+IF(F39&lt;=1,$B$8,0),2)</f>
        <v/>
      </c>
      <c r="M39" s="58">
        <f>IF(L39&gt;=4.3,"🥇 Top",IF(L39&gt;=3.8,"🥈 Fuerte",IF(L39&gt;=3.3,"🥉 Considerar","—")))</f>
        <v/>
      </c>
      <c r="N39" s="58" t="inlineStr">
        <is>
          <t>Eiffel; TSE Excellence</t>
        </is>
      </c>
    </row>
    <row r="40" ht="23.25" customHeight="1" s="47">
      <c r="A40" s="61" t="n">
        <v>29</v>
      </c>
      <c r="B40" s="62" t="inlineStr">
        <is>
          <t>Radboud (Nijmegen)</t>
        </is>
      </c>
      <c r="C40" s="61" t="inlineStr">
        <is>
          <t>MSc Economics (spec. Economics, Behaviour &amp; Policy)</t>
        </is>
      </c>
      <c r="D40" s="61" t="inlineStr">
        <is>
          <t>Países Bajos</t>
        </is>
      </c>
      <c r="E40" s="61" t="inlineStr">
        <is>
          <t>Inova</t>
        </is>
      </c>
      <c r="F40" s="61" t="n">
        <v>1</v>
      </c>
      <c r="G40" s="61" t="n">
        <v>3</v>
      </c>
      <c r="H40" s="61" t="n">
        <v>5</v>
      </c>
      <c r="I40" s="61" t="n">
        <v>5</v>
      </c>
      <c r="J40" s="61" t="n">
        <v>3</v>
      </c>
      <c r="K40" s="61" t="n">
        <v>4</v>
      </c>
      <c r="L40" s="63">
        <f>ROUND($B$3*G40+$B$4*H40+$B$5*I40+$B$6*J40+$B$7*K40+IF(F40&lt;=1,$B$8,0),2)</f>
        <v/>
      </c>
      <c r="M40" s="61">
        <f>IF(L40&gt;=4.3,"🥇 Top",IF(L40&gt;=3.8,"🥈 Fuerte",IF(L40&gt;=3.3,"🥉 Considerar","—")))</f>
        <v/>
      </c>
      <c r="N40" s="61" t="inlineStr">
        <is>
          <t>Solo non-EU</t>
        </is>
      </c>
    </row>
    <row r="41" ht="15" customHeight="1" s="47">
      <c r="A41" s="61" t="n">
        <v>30</v>
      </c>
      <c r="B41" s="62" t="inlineStr">
        <is>
          <t>Maastricht</t>
        </is>
      </c>
      <c r="C41" s="61" t="inlineStr">
        <is>
          <t>MSc Economics</t>
        </is>
      </c>
      <c r="D41" s="61" t="inlineStr">
        <is>
          <t>Países Bajos</t>
        </is>
      </c>
      <c r="E41" s="61" t="inlineStr">
        <is>
          <t>Directa</t>
        </is>
      </c>
      <c r="F41" s="61" t="n">
        <v>1</v>
      </c>
      <c r="G41" s="61" t="n">
        <v>3</v>
      </c>
      <c r="H41" s="61" t="n">
        <v>5</v>
      </c>
      <c r="I41" s="61" t="n">
        <v>5</v>
      </c>
      <c r="J41" s="61" t="n">
        <v>3</v>
      </c>
      <c r="K41" s="61" t="n">
        <v>4</v>
      </c>
      <c r="L41" s="63">
        <f>ROUND($B$3*G41+$B$4*H41+$B$5*I41+$B$6*J41+$B$7*K41+IF(F41&lt;=1,$B$8,0),2)</f>
        <v/>
      </c>
      <c r="M41" s="61">
        <f>IF(L41&gt;=4.3,"🥇 Top",IF(L41&gt;=3.8,"🥈 Fuerte",IF(L41&gt;=3.3,"🥉 Considerar","—")))</f>
        <v/>
      </c>
      <c r="N41" s="61" t="inlineStr">
        <is>
          <t>NL-High Potential ~€34,000 (solo non-EU)</t>
        </is>
      </c>
    </row>
    <row r="42" ht="23.25" customHeight="1" s="47">
      <c r="A42" s="61" t="n">
        <v>31</v>
      </c>
      <c r="B42" s="62" t="inlineStr">
        <is>
          <t>Tinbergen Institute</t>
        </is>
      </c>
      <c r="C42" s="61" t="inlineStr">
        <is>
          <t>Research Master in Economics (2 años, joint VU+UvA+Erasmus)</t>
        </is>
      </c>
      <c r="D42" s="61" t="inlineStr">
        <is>
          <t>Países Bajos</t>
        </is>
      </c>
      <c r="E42" s="61" t="inlineStr">
        <is>
          <t>Directa</t>
        </is>
      </c>
      <c r="F42" s="61" t="n">
        <v>2</v>
      </c>
      <c r="G42" s="61" t="n">
        <v>5</v>
      </c>
      <c r="H42" s="61" t="n">
        <v>4</v>
      </c>
      <c r="I42" s="61" t="n">
        <v>4</v>
      </c>
      <c r="J42" s="61" t="n">
        <v>5</v>
      </c>
      <c r="K42" s="61" t="n">
        <v>2</v>
      </c>
      <c r="L42" s="63">
        <f>ROUND($B$3*G42+$B$4*H42+$B$5*I42+$B$6*J42+$B$7*K42+IF(F42&lt;=1,$B$8,0),2)</f>
        <v/>
      </c>
      <c r="M42" s="61">
        <f>IF(L42&gt;=4.3,"🥇 Top",IF(L42&gt;=3.8,"🥈 Fuerte",IF(L42&gt;=3.3,"🥉 Considerar","—")))</f>
        <v/>
      </c>
      <c r="N42" s="61" t="inlineStr">
        <is>
          <t>Competitive fellowships (algunos no-EU)</t>
        </is>
      </c>
    </row>
    <row r="43" ht="15" customHeight="1" s="47">
      <c r="A43" s="61" t="n">
        <v>32</v>
      </c>
      <c r="B43" s="62" t="inlineStr">
        <is>
          <t>University of Oslo</t>
        </is>
      </c>
      <c r="C43" s="61" t="inlineStr">
        <is>
          <t>MSc Economics</t>
        </is>
      </c>
      <c r="D43" s="61" t="inlineStr">
        <is>
          <t>🇳🇴</t>
        </is>
      </c>
      <c r="E43" s="61" t="inlineStr">
        <is>
          <t>Directa</t>
        </is>
      </c>
      <c r="F43" s="61" t="n">
        <v>2</v>
      </c>
      <c r="G43" s="61" t="n">
        <v>4</v>
      </c>
      <c r="H43" s="61" t="n">
        <v>5</v>
      </c>
      <c r="I43" s="61" t="n">
        <v>5</v>
      </c>
      <c r="J43" s="61" t="n">
        <v>3</v>
      </c>
      <c r="K43" s="61" t="n">
        <v>4</v>
      </c>
      <c r="L43" s="63">
        <f>ROUND($B$3*G43+$B$4*H43+$B$5*I43+$B$6*J43+$B$7*K43+IF(F43&lt;=1,$B$8,0),2)</f>
        <v/>
      </c>
      <c r="M43" s="61">
        <f>IF(L43&gt;=4.3,"🥇 Top",IF(L43&gt;=3.8,"🥈 Fuerte",IF(L43&gt;=3.3,"🥉 Considerar","—")))</f>
        <v/>
      </c>
      <c r="N43" s="61" t="inlineStr">
        <is>
          <t>Gratis EU/EEA</t>
        </is>
      </c>
    </row>
    <row r="44" ht="15" customHeight="1" s="47">
      <c r="A44" s="61" t="n">
        <v>33</v>
      </c>
      <c r="B44" s="62" t="inlineStr">
        <is>
          <t>Aalto University</t>
        </is>
      </c>
      <c r="C44" s="61" t="inlineStr">
        <is>
          <t>MSc Economics</t>
        </is>
      </c>
      <c r="D44" s="61" t="inlineStr">
        <is>
          <t>🇫🇮</t>
        </is>
      </c>
      <c r="E44" s="61" t="inlineStr">
        <is>
          <t>Directa</t>
        </is>
      </c>
      <c r="F44" s="61" t="n">
        <v>2</v>
      </c>
      <c r="G44" s="61" t="n">
        <v>4</v>
      </c>
      <c r="H44" s="61" t="n">
        <v>5</v>
      </c>
      <c r="I44" s="61" t="n">
        <v>5</v>
      </c>
      <c r="J44" s="61" t="n">
        <v>3</v>
      </c>
      <c r="K44" s="61" t="n">
        <v>4</v>
      </c>
      <c r="L44" s="63">
        <f>ROUND($B$3*G44+$B$4*H44+$B$5*I44+$B$6*J44+$B$7*K44+IF(F44&lt;=1,$B$8,0),2)</f>
        <v/>
      </c>
      <c r="M44" s="61">
        <f>IF(L44&gt;=4.3,"🥇 Top",IF(L44&gt;=3.8,"🥈 Fuerte",IF(L44&gt;=3.3,"🥉 Considerar","—")))</f>
        <v/>
      </c>
      <c r="N44" s="61" t="inlineStr">
        <is>
          <t>Gratis EU/EEA</t>
        </is>
      </c>
    </row>
    <row r="45" ht="15" customHeight="1" s="47">
      <c r="A45" s="61" t="n">
        <v>34</v>
      </c>
      <c r="B45" s="62" t="inlineStr">
        <is>
          <t>UCLouvain</t>
        </is>
      </c>
      <c r="C45" s="61" t="inlineStr">
        <is>
          <t>Master in Economics (research)</t>
        </is>
      </c>
      <c r="D45" s="61" t="inlineStr">
        <is>
          <t>🇧🇪</t>
        </is>
      </c>
      <c r="E45" s="61" t="inlineStr">
        <is>
          <t>Directa</t>
        </is>
      </c>
      <c r="F45" s="61" t="n">
        <v>2</v>
      </c>
      <c r="G45" s="61" t="n">
        <v>4</v>
      </c>
      <c r="H45" s="61" t="n">
        <v>5</v>
      </c>
      <c r="I45" s="61" t="n">
        <v>5</v>
      </c>
      <c r="J45" s="61" t="n">
        <v>3</v>
      </c>
      <c r="K45" s="61" t="n">
        <v>4</v>
      </c>
      <c r="L45" s="63">
        <f>ROUND($B$3*G45+$B$4*H45+$B$5*I45+$B$6*J45+$B$7*K45+IF(F45&lt;=1,$B$8,0),2)</f>
        <v/>
      </c>
      <c r="M45" s="61">
        <f>IF(L45&gt;=4.3,"🥇 Top",IF(L45&gt;=3.8,"🥈 Fuerte",IF(L45&gt;=3.3,"🥉 Considerar","—")))</f>
        <v/>
      </c>
      <c r="N45" s="61" t="inlineStr">
        <is>
          <t>ARES; UCLouvain</t>
        </is>
      </c>
    </row>
    <row r="46" ht="15" customHeight="1" s="47">
      <c r="A46" s="61" t="n">
        <v>35</v>
      </c>
      <c r="B46" s="62" t="inlineStr">
        <is>
          <t>University of Vienna</t>
        </is>
      </c>
      <c r="C46" s="61" t="inlineStr">
        <is>
          <t>MSc Economics (VGSE)</t>
        </is>
      </c>
      <c r="D46" s="61" t="inlineStr">
        <is>
          <t>🇦🇹</t>
        </is>
      </c>
      <c r="E46" s="61" t="inlineStr">
        <is>
          <t>Directa</t>
        </is>
      </c>
      <c r="F46" s="61" t="n">
        <v>2</v>
      </c>
      <c r="G46" s="61" t="n">
        <v>4</v>
      </c>
      <c r="H46" s="61" t="n">
        <v>5</v>
      </c>
      <c r="I46" s="61" t="n">
        <v>5</v>
      </c>
      <c r="J46" s="61" t="n">
        <v>3</v>
      </c>
      <c r="K46" s="61" t="n">
        <v>4</v>
      </c>
      <c r="L46" s="63">
        <f>ROUND($B$3*G46+$B$4*H46+$B$5*I46+$B$6*J46+$B$7*K46+IF(F46&lt;=1,$B$8,0),2)</f>
        <v/>
      </c>
      <c r="M46" s="61">
        <f>IF(L46&gt;=4.3,"🥇 Top",IF(L46&gt;=3.8,"🥈 Fuerte",IF(L46&gt;=3.3,"🥉 Considerar","—")))</f>
        <v/>
      </c>
      <c r="N46" s="61" t="inlineStr">
        <is>
          <t>OeAD; uni:docs</t>
        </is>
      </c>
    </row>
    <row r="47" ht="23.25" customHeight="1" s="47">
      <c r="A47" s="61" t="n">
        <v>36</v>
      </c>
      <c r="B47" s="62" t="inlineStr">
        <is>
          <t>WU Vienna (Econ &amp; Business)</t>
        </is>
      </c>
      <c r="C47" s="61" t="inlineStr">
        <is>
          <t>MSc Economics</t>
        </is>
      </c>
      <c r="D47" s="61" t="inlineStr">
        <is>
          <t>🇦🇹</t>
        </is>
      </c>
      <c r="E47" s="61" t="inlineStr">
        <is>
          <t>Directa</t>
        </is>
      </c>
      <c r="F47" s="61" t="n">
        <v>2</v>
      </c>
      <c r="G47" s="61" t="n">
        <v>4</v>
      </c>
      <c r="H47" s="61" t="n">
        <v>5</v>
      </c>
      <c r="I47" s="61" t="n">
        <v>5</v>
      </c>
      <c r="J47" s="61" t="n">
        <v>3</v>
      </c>
      <c r="K47" s="61" t="n">
        <v>4</v>
      </c>
      <c r="L47" s="63">
        <f>ROUND($B$3*G47+$B$4*H47+$B$5*I47+$B$6*J47+$B$7*K47+IF(F47&lt;=1,$B$8,0),2)</f>
        <v/>
      </c>
      <c r="M47" s="61">
        <f>IF(L47&gt;=4.3,"🥇 Top",IF(L47&gt;=3.8,"🥈 Fuerte",IF(L47&gt;=3.3,"🥉 Considerar","—")))</f>
        <v/>
      </c>
      <c r="N47" s="61" t="inlineStr">
        <is>
          <t>WU merit</t>
        </is>
      </c>
    </row>
    <row r="48" ht="15" customHeight="1" s="47">
      <c r="A48" s="61" t="n">
        <v>37</v>
      </c>
      <c r="B48" s="62" t="inlineStr">
        <is>
          <t>ENSAE Paris</t>
        </is>
      </c>
      <c r="C48" s="61" t="inlineStr">
        <is>
          <t>MSc Economics / Data Science</t>
        </is>
      </c>
      <c r="D48" s="61" t="inlineStr">
        <is>
          <t>🇫🇷</t>
        </is>
      </c>
      <c r="E48" s="61" t="inlineStr">
        <is>
          <t>Directa</t>
        </is>
      </c>
      <c r="F48" s="61" t="n">
        <v>2</v>
      </c>
      <c r="G48" s="61" t="n">
        <v>5</v>
      </c>
      <c r="H48" s="61" t="n">
        <v>4</v>
      </c>
      <c r="I48" s="61" t="n">
        <v>4</v>
      </c>
      <c r="J48" s="61" t="n">
        <v>4</v>
      </c>
      <c r="K48" s="61" t="n">
        <v>3</v>
      </c>
      <c r="L48" s="63">
        <f>ROUND($B$3*G48+$B$4*H48+$B$5*I48+$B$6*J48+$B$7*K48+IF(F48&lt;=1,$B$8,0),2)</f>
        <v/>
      </c>
      <c r="M48" s="61">
        <f>IF(L48&gt;=4.3,"🥇 Top",IF(L48&gt;=3.8,"🥈 Fuerte",IF(L48&gt;=3.3,"🥉 Considerar","—")))</f>
        <v/>
      </c>
      <c r="N48" s="61" t="inlineStr">
        <is>
          <t>Eiffel</t>
        </is>
      </c>
    </row>
    <row r="49" ht="15" customHeight="1" s="47">
      <c r="A49" s="61" t="n">
        <v>38</v>
      </c>
      <c r="B49" s="62" t="inlineStr">
        <is>
          <t>University of Bologna</t>
        </is>
      </c>
      <c r="C49" s="61" t="inlineStr">
        <is>
          <t>MSc Economics</t>
        </is>
      </c>
      <c r="D49" s="61" t="inlineStr">
        <is>
          <t>🇮🇹</t>
        </is>
      </c>
      <c r="E49" s="61" t="inlineStr">
        <is>
          <t>Directa</t>
        </is>
      </c>
      <c r="F49" s="61" t="n">
        <v>2</v>
      </c>
      <c r="G49" s="61" t="n">
        <v>3</v>
      </c>
      <c r="H49" s="61" t="n">
        <v>5</v>
      </c>
      <c r="I49" s="61" t="n">
        <v>5</v>
      </c>
      <c r="J49" s="61" t="n">
        <v>3</v>
      </c>
      <c r="K49" s="61" t="n">
        <v>5</v>
      </c>
      <c r="L49" s="63">
        <f>ROUND($B$3*G49+$B$4*H49+$B$5*I49+$B$6*J49+$B$7*K49+IF(F49&lt;=1,$B$8,0),2)</f>
        <v/>
      </c>
      <c r="M49" s="61">
        <f>IF(L49&gt;=4.3,"🥇 Top",IF(L49&gt;=3.8,"🥈 Fuerte",IF(L49&gt;=3.3,"🥉 Considerar","—")))</f>
        <v/>
      </c>
      <c r="N49" s="61" t="inlineStr">
        <is>
          <t>ER-GO regional</t>
        </is>
      </c>
    </row>
    <row r="50" ht="15" customHeight="1" s="47">
      <c r="A50" s="61" t="n">
        <v>39</v>
      </c>
      <c r="B50" s="62" t="inlineStr">
        <is>
          <t>Ghent University</t>
        </is>
      </c>
      <c r="C50" s="61" t="inlineStr">
        <is>
          <t>Master of Economics</t>
        </is>
      </c>
      <c r="D50" s="61" t="inlineStr">
        <is>
          <t>🇧🇪</t>
        </is>
      </c>
      <c r="E50" s="61" t="inlineStr">
        <is>
          <t>Directa</t>
        </is>
      </c>
      <c r="F50" s="61" t="n">
        <v>2</v>
      </c>
      <c r="G50" s="61" t="n">
        <v>3</v>
      </c>
      <c r="H50" s="61" t="n">
        <v>5</v>
      </c>
      <c r="I50" s="61" t="n">
        <v>5</v>
      </c>
      <c r="J50" s="61" t="n">
        <v>3</v>
      </c>
      <c r="K50" s="61" t="n">
        <v>4</v>
      </c>
      <c r="L50" s="63">
        <f>ROUND($B$3*G50+$B$4*H50+$B$5*I50+$B$6*J50+$B$7*K50+IF(F50&lt;=1,$B$8,0),2)</f>
        <v/>
      </c>
      <c r="M50" s="61">
        <f>IF(L50&gt;=4.3,"🥇 Top",IF(L50&gt;=3.8,"🥈 Fuerte",IF(L50&gt;=3.3,"🥉 Considerar","—")))</f>
        <v/>
      </c>
      <c r="N50" s="61" t="inlineStr">
        <is>
          <t>Gratis-parcial EU</t>
        </is>
      </c>
    </row>
    <row r="51" ht="15" customHeight="1" s="47">
      <c r="A51" s="61" t="n">
        <v>40</v>
      </c>
      <c r="B51" s="62" t="inlineStr">
        <is>
          <t>University of Zurich</t>
        </is>
      </c>
      <c r="C51" s="61" t="inlineStr">
        <is>
          <t>MA in Economics</t>
        </is>
      </c>
      <c r="D51" s="61" t="inlineStr">
        <is>
          <t>🇨🇭</t>
        </is>
      </c>
      <c r="E51" s="61" t="inlineStr">
        <is>
          <t>Directa</t>
        </is>
      </c>
      <c r="F51" s="61" t="n">
        <v>2</v>
      </c>
      <c r="G51" s="61" t="n">
        <v>5</v>
      </c>
      <c r="H51" s="61" t="n">
        <v>3</v>
      </c>
      <c r="I51" s="61" t="n">
        <v>3</v>
      </c>
      <c r="J51" s="61" t="n">
        <v>5</v>
      </c>
      <c r="K51" s="61" t="n">
        <v>3</v>
      </c>
      <c r="L51" s="63">
        <f>ROUND($B$3*G51+$B$4*H51+$B$5*I51+$B$6*J51+$B$7*K51+IF(F51&lt;=1,$B$8,0),2)</f>
        <v/>
      </c>
      <c r="M51" s="61">
        <f>IF(L51&gt;=4.3,"🥇 Top",IF(L51&gt;=3.8,"🥈 Fuerte",IF(L51&gt;=3.3,"🥉 Considerar","—")))</f>
        <v/>
      </c>
      <c r="N51" s="61" t="inlineStr">
        <is>
          <t>UBS Center; mérito</t>
        </is>
      </c>
    </row>
    <row r="52" ht="23.25" customHeight="1" s="47">
      <c r="A52" s="61" t="n">
        <v>41</v>
      </c>
      <c r="B52" s="62" t="inlineStr">
        <is>
          <t>Sciences Po</t>
        </is>
      </c>
      <c r="C52" s="61" t="inlineStr">
        <is>
          <t>Master in Economics / Int'l Development</t>
        </is>
      </c>
      <c r="D52" s="61" t="inlineStr">
        <is>
          <t>🇫🇷</t>
        </is>
      </c>
      <c r="E52" s="61" t="inlineStr">
        <is>
          <t>Directa</t>
        </is>
      </c>
      <c r="F52" s="61" t="n">
        <v>2</v>
      </c>
      <c r="G52" s="61" t="n">
        <v>4</v>
      </c>
      <c r="H52" s="61" t="n">
        <v>4</v>
      </c>
      <c r="I52" s="61" t="n">
        <v>4</v>
      </c>
      <c r="J52" s="61" t="n">
        <v>4</v>
      </c>
      <c r="K52" s="61" t="n">
        <v>3</v>
      </c>
      <c r="L52" s="63">
        <f>ROUND($B$3*G52+$B$4*H52+$B$5*I52+$B$6*J52+$B$7*K52+IF(F52&lt;=1,$B$8,0),2)</f>
        <v/>
      </c>
      <c r="M52" s="61">
        <f>IF(L52&gt;=4.3,"🥇 Top",IF(L52&gt;=3.8,"🥈 Fuerte",IF(L52&gt;=3.3,"🥉 Considerar","—")))</f>
        <v/>
      </c>
      <c r="N52" s="61" t="inlineStr">
        <is>
          <t>Becas según renta; Eiffel</t>
        </is>
      </c>
    </row>
    <row r="53" ht="23.25" customHeight="1" s="47">
      <c r="A53" s="61" t="n">
        <v>42</v>
      </c>
      <c r="B53" s="62" t="inlineStr">
        <is>
          <t>QEM (consorcio)</t>
        </is>
      </c>
      <c r="C53" s="61" t="inlineStr">
        <is>
          <t>Models &amp; Methods of Quantitative Economics</t>
        </is>
      </c>
      <c r="D53" s="61" t="inlineStr">
        <is>
          <t>🇪🇺</t>
        </is>
      </c>
      <c r="E53" s="61" t="inlineStr">
        <is>
          <t>Directa</t>
        </is>
      </c>
      <c r="F53" s="61" t="n">
        <v>2</v>
      </c>
      <c r="G53" s="61" t="n">
        <v>5</v>
      </c>
      <c r="H53" s="61" t="n">
        <v>3</v>
      </c>
      <c r="I53" s="61" t="n">
        <v>4</v>
      </c>
      <c r="J53" s="61" t="n">
        <v>4</v>
      </c>
      <c r="K53" s="61" t="n">
        <v>3</v>
      </c>
      <c r="L53" s="63">
        <f>ROUND($B$3*G53+$B$4*H53+$B$5*I53+$B$6*J53+$B$7*K53+IF(F53&lt;=1,$B$8,0),2)</f>
        <v/>
      </c>
      <c r="M53" s="61">
        <f>IF(L53&gt;=4.3,"🥇 Top",IF(L53&gt;=3.8,"🥈 Fuerte",IF(L53&gt;=3.3,"🥉 Considerar","—")))</f>
        <v/>
      </c>
      <c r="N53" s="61" t="inlineStr">
        <is>
          <t>★ Erasmus Mundus: €1,400/mes + matrícula</t>
        </is>
      </c>
    </row>
    <row r="54" ht="15" customHeight="1" s="47">
      <c r="A54" s="61" t="n">
        <v>43</v>
      </c>
      <c r="B54" s="62" t="inlineStr">
        <is>
          <t>Universidad Carlos III</t>
        </is>
      </c>
      <c r="C54" s="61" t="inlineStr">
        <is>
          <t>Master in Economic Analysis</t>
        </is>
      </c>
      <c r="D54" s="61" t="inlineStr">
        <is>
          <t>España</t>
        </is>
      </c>
      <c r="E54" s="61" t="inlineStr">
        <is>
          <t>Directa</t>
        </is>
      </c>
      <c r="F54" s="61" t="n">
        <v>2</v>
      </c>
      <c r="G54" s="61" t="n">
        <v>4</v>
      </c>
      <c r="H54" s="61" t="n">
        <v>4</v>
      </c>
      <c r="I54" s="61" t="n">
        <v>3</v>
      </c>
      <c r="J54" s="61" t="n">
        <v>4</v>
      </c>
      <c r="K54" s="61" t="n">
        <v>4</v>
      </c>
      <c r="L54" s="63">
        <f>ROUND($B$3*G54+$B$4*H54+$B$5*I54+$B$6*J54+$B$7*K54+IF(F54&lt;=1,$B$8,0),2)</f>
        <v/>
      </c>
      <c r="M54" s="61">
        <f>IF(L54&gt;=4.3,"🥇 Top",IF(L54&gt;=3.8,"🥈 Fuerte",IF(L54&gt;=3.3,"🥉 Considerar","—")))</f>
        <v/>
      </c>
      <c r="N54" s="61" t="inlineStr">
        <is>
          <t>Becas UC3M / Carolina</t>
        </is>
      </c>
    </row>
    <row r="55" ht="23.25" customHeight="1" s="47">
      <c r="A55" s="61" t="n">
        <v>44</v>
      </c>
      <c r="B55" s="62" t="inlineStr">
        <is>
          <t>Collegio Carlo Alberto (Turín)</t>
        </is>
      </c>
      <c r="C55" s="61" t="inlineStr">
        <is>
          <t>MSc in Economics</t>
        </is>
      </c>
      <c r="D55" s="61" t="inlineStr">
        <is>
          <t>🇮🇹</t>
        </is>
      </c>
      <c r="E55" s="61" t="inlineStr">
        <is>
          <t>Directa</t>
        </is>
      </c>
      <c r="F55" s="61" t="n">
        <v>2</v>
      </c>
      <c r="G55" s="61" t="n">
        <v>4</v>
      </c>
      <c r="H55" s="61" t="n">
        <v>4</v>
      </c>
      <c r="I55" s="61" t="n">
        <v>4</v>
      </c>
      <c r="J55" s="61" t="n">
        <v>3</v>
      </c>
      <c r="K55" s="61" t="n">
        <v>4</v>
      </c>
      <c r="L55" s="63">
        <f>ROUND($B$3*G55+$B$4*H55+$B$5*I55+$B$6*J55+$B$7*K55+IF(F55&lt;=1,$B$8,0),2)</f>
        <v/>
      </c>
      <c r="M55" s="61">
        <f>IF(L55&gt;=4.3,"🥇 Top",IF(L55&gt;=3.8,"🥈 Fuerte",IF(L55&gt;=3.3,"🥉 Considerar","—")))</f>
        <v/>
      </c>
      <c r="N55" s="61" t="inlineStr">
        <is>
          <t>Tuition waivers por mérito</t>
        </is>
      </c>
    </row>
    <row r="56" ht="15" customHeight="1" s="47">
      <c r="A56" s="64" t="n">
        <v>45</v>
      </c>
      <c r="B56" s="65" t="inlineStr">
        <is>
          <t>CEMFI</t>
        </is>
      </c>
      <c r="C56" s="64" t="inlineStr">
        <is>
          <t>Master in Economics and Finance</t>
        </is>
      </c>
      <c r="D56" s="64" t="inlineStr">
        <is>
          <t>España</t>
        </is>
      </c>
      <c r="E56" s="64" t="inlineStr">
        <is>
          <t>Directa</t>
        </is>
      </c>
      <c r="F56" s="64" t="n">
        <v>2</v>
      </c>
      <c r="G56" s="64" t="n">
        <v>5</v>
      </c>
      <c r="H56" s="64" t="n">
        <v>2</v>
      </c>
      <c r="I56" s="64" t="n">
        <v>4</v>
      </c>
      <c r="J56" s="64" t="n">
        <v>5</v>
      </c>
      <c r="K56" s="64" t="n">
        <v>2</v>
      </c>
      <c r="L56" s="66">
        <f>ROUND($B$3*G56+$B$4*H56+$B$5*I56+$B$6*J56+$B$7*K56+IF(F56&lt;=1,$B$8,0),2)</f>
        <v/>
      </c>
      <c r="M56" s="64">
        <f>IF(L56&gt;=4.3,"🥇 Top",IF(L56&gt;=3.8,"🥈 Fuerte",IF(L56&gt;=3.3,"🥉 Considerar","—")))</f>
        <v/>
      </c>
      <c r="N56" s="64" t="inlineStr">
        <is>
          <t>Beca Carolina/BBVA LATAM: tuition + €900/mes</t>
        </is>
      </c>
    </row>
    <row r="57" ht="15" customHeight="1" s="47">
      <c r="A57" s="64" t="n">
        <v>46</v>
      </c>
      <c r="B57" s="65" t="inlineStr">
        <is>
          <t>Graduate Institute Geneva</t>
        </is>
      </c>
      <c r="C57" s="64" t="inlineStr">
        <is>
          <t>MA in International Economics</t>
        </is>
      </c>
      <c r="D57" s="64" t="inlineStr">
        <is>
          <t>🇨🇭</t>
        </is>
      </c>
      <c r="E57" s="64" t="inlineStr">
        <is>
          <t>Directa</t>
        </is>
      </c>
      <c r="F57" s="64" t="n">
        <v>2</v>
      </c>
      <c r="G57" s="64" t="n">
        <v>5</v>
      </c>
      <c r="H57" s="64" t="n">
        <v>3</v>
      </c>
      <c r="I57" s="64" t="n">
        <v>3</v>
      </c>
      <c r="J57" s="64" t="n">
        <v>4</v>
      </c>
      <c r="K57" s="64" t="n">
        <v>3</v>
      </c>
      <c r="L57" s="66">
        <f>ROUND($B$3*G57+$B$4*H57+$B$5*I57+$B$6*J57+$B$7*K57+IF(F57&lt;=1,$B$8,0),2)</f>
        <v/>
      </c>
      <c r="M57" s="64">
        <f>IF(L57&gt;=4.3,"🥇 Top",IF(L57&gt;=3.8,"🥈 Fuerte",IF(L57&gt;=3.3,"🥉 Considerar","—")))</f>
        <v/>
      </c>
      <c r="N57" s="64" t="inlineStr">
        <is>
          <t>Geneva scholarships</t>
        </is>
      </c>
    </row>
    <row r="58" ht="23.25" customHeight="1" s="47">
      <c r="A58" s="64" t="n">
        <v>47</v>
      </c>
      <c r="B58" s="65" t="inlineStr">
        <is>
          <t>Barcelona School of Economics (BSE)</t>
        </is>
      </c>
      <c r="C58" s="64" t="inlineStr">
        <is>
          <t>MSc Finance / Financial Economics</t>
        </is>
      </c>
      <c r="D58" s="64" t="inlineStr">
        <is>
          <t>España</t>
        </is>
      </c>
      <c r="E58" s="64" t="inlineStr">
        <is>
          <t>Directa</t>
        </is>
      </c>
      <c r="F58" s="64" t="n">
        <v>1</v>
      </c>
      <c r="G58" s="64" t="n">
        <v>5</v>
      </c>
      <c r="H58" s="64" t="n">
        <v>2</v>
      </c>
      <c r="I58" s="64" t="n">
        <v>3</v>
      </c>
      <c r="J58" s="64" t="n">
        <v>4</v>
      </c>
      <c r="K58" s="64" t="n">
        <v>3</v>
      </c>
      <c r="L58" s="66">
        <f>ROUND($B$3*G58+$B$4*H58+$B$5*I58+$B$6*J58+$B$7*K58+IF(F58&lt;=1,$B$8,0),2)</f>
        <v/>
      </c>
      <c r="M58" s="64">
        <f>IF(L58&gt;=4.3,"🥇 Top",IF(L58&gt;=3.8,"🥈 Fuerte",IF(L58&gt;=3.3,"🥉 Considerar","—")))</f>
        <v/>
      </c>
      <c r="N58" s="64" t="inlineStr">
        <is>
          <t>BSE merit</t>
        </is>
      </c>
    </row>
    <row r="59" ht="23.25" customHeight="1" s="47">
      <c r="A59" s="64" t="n">
        <v>48</v>
      </c>
      <c r="B59" s="65" t="inlineStr">
        <is>
          <t>Warwick (Dept. Economics)</t>
        </is>
      </c>
      <c r="C59" s="64" t="inlineStr">
        <is>
          <t>MSc Economics &amp; International Financial Econ</t>
        </is>
      </c>
      <c r="D59" s="64" t="inlineStr">
        <is>
          <t>UK</t>
        </is>
      </c>
      <c r="E59" s="64" t="inlineStr">
        <is>
          <t>Inova</t>
        </is>
      </c>
      <c r="F59" s="64" t="n">
        <v>1</v>
      </c>
      <c r="G59" s="64" t="n">
        <v>5</v>
      </c>
      <c r="H59" s="64" t="n">
        <v>1</v>
      </c>
      <c r="I59" s="64" t="n">
        <v>3</v>
      </c>
      <c r="J59" s="64" t="n">
        <v>5</v>
      </c>
      <c r="K59" s="64" t="n">
        <v>3</v>
      </c>
      <c r="L59" s="66">
        <f>ROUND($B$3*G59+$B$4*H59+$B$5*I59+$B$6*J59+$B$7*K59+IF(F59&lt;=1,$B$8,0),2)</f>
        <v/>
      </c>
      <c r="M59" s="64">
        <f>IF(L59&gt;=4.3,"🥇 Top",IF(L59&gt;=3.8,"🥈 Fuerte",IF(L59&gt;=3.3,"🥉 Considerar","—")))</f>
        <v/>
      </c>
      <c r="N59" s="64" t="inlineStr">
        <is>
          <t>Mismas 2 becas regionales Sudamérica 100% tuition + 1 excelencia</t>
        </is>
      </c>
    </row>
    <row r="60" ht="23.25" customHeight="1" s="47">
      <c r="A60" s="64" t="n">
        <v>49</v>
      </c>
      <c r="B60" s="65" t="inlineStr">
        <is>
          <t>ETH Zurich</t>
        </is>
      </c>
      <c r="C60" s="64" t="inlineStr">
        <is>
          <t>MSc Management, Technology &amp; Economics</t>
        </is>
      </c>
      <c r="D60" s="64" t="inlineStr">
        <is>
          <t>🇨🇭</t>
        </is>
      </c>
      <c r="E60" s="64" t="inlineStr">
        <is>
          <t>Directa</t>
        </is>
      </c>
      <c r="F60" s="64" t="n">
        <v>2</v>
      </c>
      <c r="G60" s="64" t="n">
        <v>4</v>
      </c>
      <c r="H60" s="64" t="n">
        <v>3</v>
      </c>
      <c r="I60" s="64" t="n">
        <v>3</v>
      </c>
      <c r="J60" s="64" t="n">
        <v>5</v>
      </c>
      <c r="K60" s="64" t="n">
        <v>3</v>
      </c>
      <c r="L60" s="66">
        <f>ROUND($B$3*G60+$B$4*H60+$B$5*I60+$B$6*J60+$B$7*K60+IF(F60&lt;=1,$B$8,0),2)</f>
        <v/>
      </c>
      <c r="M60" s="64">
        <f>IF(L60&gt;=4.3,"🥇 Top",IF(L60&gt;=3.8,"🥈 Fuerte",IF(L60&gt;=3.3,"🥉 Considerar","—")))</f>
        <v/>
      </c>
      <c r="N60" s="64" t="inlineStr">
        <is>
          <t>ESOP; mérito</t>
        </is>
      </c>
    </row>
    <row r="61" ht="15" customHeight="1" s="47">
      <c r="A61" s="64" t="n">
        <v>50</v>
      </c>
      <c r="B61" s="65" t="inlineStr">
        <is>
          <t>Nova SBE</t>
        </is>
      </c>
      <c r="C61" s="64" t="inlineStr">
        <is>
          <t>Master in Economics / Finance</t>
        </is>
      </c>
      <c r="D61" s="64" t="inlineStr">
        <is>
          <t>🇵🇹</t>
        </is>
      </c>
      <c r="E61" s="64" t="inlineStr">
        <is>
          <t>Directa</t>
        </is>
      </c>
      <c r="F61" s="64" t="n">
        <v>2</v>
      </c>
      <c r="G61" s="64" t="n">
        <v>4</v>
      </c>
      <c r="H61" s="64" t="n">
        <v>4</v>
      </c>
      <c r="I61" s="64" t="n">
        <v>3</v>
      </c>
      <c r="J61" s="64" t="n">
        <v>3</v>
      </c>
      <c r="K61" s="64" t="n">
        <v>4</v>
      </c>
      <c r="L61" s="66">
        <f>ROUND($B$3*G61+$B$4*H61+$B$5*I61+$B$6*J61+$B$7*K61+IF(F61&lt;=1,$B$8,0),2)</f>
        <v/>
      </c>
      <c r="M61" s="64">
        <f>IF(L61&gt;=4.3,"🥇 Top",IF(L61&gt;=3.8,"🥈 Fuerte",IF(L61&gt;=3.3,"🥉 Considerar","—")))</f>
        <v/>
      </c>
      <c r="N61" s="64" t="inlineStr">
        <is>
          <t>Nova merit/need</t>
        </is>
      </c>
    </row>
    <row r="62" ht="23.25" customHeight="1" s="47">
      <c r="A62" s="64" t="n">
        <v>51</v>
      </c>
      <c r="B62" s="65" t="inlineStr">
        <is>
          <t>Sussex</t>
        </is>
      </c>
      <c r="C62" s="64" t="inlineStr">
        <is>
          <t>MSc Development Economics</t>
        </is>
      </c>
      <c r="D62" s="64" t="inlineStr">
        <is>
          <t>UK</t>
        </is>
      </c>
      <c r="E62" s="64" t="inlineStr">
        <is>
          <t>Inova</t>
        </is>
      </c>
      <c r="F62" s="64" t="n">
        <v>1</v>
      </c>
      <c r="G62" s="64" t="n">
        <v>5</v>
      </c>
      <c r="H62" s="64" t="n">
        <v>1</v>
      </c>
      <c r="I62" s="64" t="n">
        <v>3</v>
      </c>
      <c r="J62" s="64" t="n">
        <v>4</v>
      </c>
      <c r="K62" s="64" t="n">
        <v>4</v>
      </c>
      <c r="L62" s="66">
        <f>ROUND($B$3*G62+$B$4*H62+$B$5*I62+$B$6*J62+$B$7*K62+IF(F62&lt;=1,$B$8,0),2)</f>
        <v/>
      </c>
      <c r="M62" s="64">
        <f>IF(L62&gt;=4.3,"🥇 Top",IF(L62&gt;=3.8,"🥈 Fuerte",IF(L62&gt;=3.3,"🥉 Considerar","—")))</f>
        <v/>
      </c>
      <c r="N62" s="64" t="inlineStr">
        <is>
          <t>Chancellor's International Scholarship £5,000 + BBS automatic £2,000 +</t>
        </is>
      </c>
    </row>
    <row r="63" ht="23.25" customHeight="1" s="47">
      <c r="A63" s="64" t="n">
        <v>52</v>
      </c>
      <c r="B63" s="65" t="inlineStr">
        <is>
          <t>Oxford</t>
        </is>
      </c>
      <c r="C63" s="64" t="inlineStr">
        <is>
          <t>MSc Economics for Development</t>
        </is>
      </c>
      <c r="D63" s="64" t="inlineStr">
        <is>
          <t>UK</t>
        </is>
      </c>
      <c r="E63" s="64" t="inlineStr">
        <is>
          <t>Directa</t>
        </is>
      </c>
      <c r="F63" s="64" t="n">
        <v>1</v>
      </c>
      <c r="G63" s="64" t="n">
        <v>5</v>
      </c>
      <c r="H63" s="64" t="n">
        <v>1</v>
      </c>
      <c r="I63" s="64" t="n">
        <v>3</v>
      </c>
      <c r="J63" s="64" t="n">
        <v>5</v>
      </c>
      <c r="K63" s="64" t="n">
        <v>2</v>
      </c>
      <c r="L63" s="66">
        <f>ROUND($B$3*G63+$B$4*H63+$B$5*I63+$B$6*J63+$B$7*K63+IF(F63&lt;=1,$B$8,0),2)</f>
        <v/>
      </c>
      <c r="M63" s="64">
        <f>IF(L63&gt;=4.3,"🥇 Top",IF(L63&gt;=3.8,"🥈 Fuerte",IF(L63&gt;=3.3,"🥉 Considerar","—")))</f>
        <v/>
      </c>
      <c r="N63" s="64" t="inlineStr">
        <is>
          <t>Louis Dreyfus-Weidenfeld (fully funded, Sudamérica); Chevening</t>
        </is>
      </c>
    </row>
    <row r="64" ht="23.25" customHeight="1" s="47">
      <c r="A64" s="64" t="n">
        <v>53</v>
      </c>
      <c r="B64" s="65" t="inlineStr">
        <is>
          <t>Central European University (CEU)</t>
        </is>
      </c>
      <c r="C64" s="64" t="inlineStr">
        <is>
          <t>MA in Economics</t>
        </is>
      </c>
      <c r="D64" s="64" t="inlineStr">
        <is>
          <t>🇦🇹</t>
        </is>
      </c>
      <c r="E64" s="64" t="inlineStr">
        <is>
          <t>Directa</t>
        </is>
      </c>
      <c r="F64" s="64" t="n">
        <v>2</v>
      </c>
      <c r="G64" s="64" t="n">
        <v>5</v>
      </c>
      <c r="H64" s="64" t="n">
        <v>2</v>
      </c>
      <c r="I64" s="64" t="n">
        <v>4</v>
      </c>
      <c r="J64" s="64" t="n">
        <v>3</v>
      </c>
      <c r="K64" s="64" t="n">
        <v>4</v>
      </c>
      <c r="L64" s="66">
        <f>ROUND($B$3*G64+$B$4*H64+$B$5*I64+$B$6*J64+$B$7*K64+IF(F64&lt;=1,$B$8,0),2)</f>
        <v/>
      </c>
      <c r="M64" s="64">
        <f>IF(L64&gt;=4.3,"🥇 Top",IF(L64&gt;=3.8,"🥈 Fuerte",IF(L64&gt;=3.3,"🥉 Considerar","—")))</f>
        <v/>
      </c>
      <c r="N64" s="64" t="inlineStr">
        <is>
          <t>★ Full waiver + €10,000/año a top; Hantos (LATAM/argentinos)</t>
        </is>
      </c>
    </row>
    <row r="65" ht="23.25" customHeight="1" s="47">
      <c r="A65" s="64" t="n">
        <v>54</v>
      </c>
      <c r="B65" s="65" t="inlineStr">
        <is>
          <t>EPOG+ (consorcio)</t>
        </is>
      </c>
      <c r="C65" s="64" t="inlineStr">
        <is>
          <t>Economic Policies for the Global transition</t>
        </is>
      </c>
      <c r="D65" s="64" t="inlineStr">
        <is>
          <t>🇪🇺</t>
        </is>
      </c>
      <c r="E65" s="64" t="inlineStr">
        <is>
          <t>Directa</t>
        </is>
      </c>
      <c r="F65" s="64" t="n">
        <v>2</v>
      </c>
      <c r="G65" s="64" t="n">
        <v>4</v>
      </c>
      <c r="H65" s="64" t="n">
        <v>3</v>
      </c>
      <c r="I65" s="64" t="n">
        <v>4</v>
      </c>
      <c r="J65" s="64" t="n">
        <v>3</v>
      </c>
      <c r="K65" s="64" t="n">
        <v>3</v>
      </c>
      <c r="L65" s="66">
        <f>ROUND($B$3*G65+$B$4*H65+$B$5*I65+$B$6*J65+$B$7*K65+IF(F65&lt;=1,$B$8,0),2)</f>
        <v/>
      </c>
      <c r="M65" s="64">
        <f>IF(L65&gt;=4.3,"🥇 Top",IF(L65&gt;=3.8,"🥈 Fuerte",IF(L65&gt;=3.3,"🥉 Considerar","—")))</f>
        <v/>
      </c>
      <c r="N65" s="64" t="inlineStr">
        <is>
          <t>★ Erasmus Mundus: €1,400/mes + matrícula</t>
        </is>
      </c>
    </row>
    <row r="66" ht="23.25" customHeight="1" s="47">
      <c r="A66" s="64" t="n">
        <v>55</v>
      </c>
      <c r="B66" s="65" t="inlineStr">
        <is>
          <t>Barcelona School of Economics (BSE)</t>
        </is>
      </c>
      <c r="C66" s="64" t="inlineStr">
        <is>
          <t>MSc Economics Program</t>
        </is>
      </c>
      <c r="D66" s="64" t="inlineStr">
        <is>
          <t>España</t>
        </is>
      </c>
      <c r="E66" s="64" t="inlineStr">
        <is>
          <t>Directa</t>
        </is>
      </c>
      <c r="F66" s="64" t="n">
        <v>1</v>
      </c>
      <c r="G66" s="64" t="n">
        <v>4</v>
      </c>
      <c r="H66" s="64" t="n">
        <v>2</v>
      </c>
      <c r="I66" s="64" t="n">
        <v>3</v>
      </c>
      <c r="J66" s="64" t="n">
        <v>4</v>
      </c>
      <c r="K66" s="64" t="n">
        <v>3</v>
      </c>
      <c r="L66" s="66">
        <f>ROUND($B$3*G66+$B$4*H66+$B$5*I66+$B$6*J66+$B$7*K66+IF(F66&lt;=1,$B$8,0),2)</f>
        <v/>
      </c>
      <c r="M66" s="64">
        <f>IF(L66&gt;=4.3,"🥇 Top",IF(L66&gt;=3.8,"🥈 Fuerte",IF(L66&gt;=3.3,"🥉 Considerar","—")))</f>
        <v/>
      </c>
      <c r="N66" s="64" t="inlineStr">
        <is>
          <t>BSE merit (parciales a totales)</t>
        </is>
      </c>
    </row>
    <row r="67" ht="23.25" customHeight="1" s="47">
      <c r="A67" s="64" t="n">
        <v>56</v>
      </c>
      <c r="B67" s="65" t="inlineStr">
        <is>
          <t>Warwick (Dept. Economics)</t>
        </is>
      </c>
      <c r="C67" s="64" t="inlineStr">
        <is>
          <t>MSc Economics</t>
        </is>
      </c>
      <c r="D67" s="64" t="inlineStr">
        <is>
          <t>UK</t>
        </is>
      </c>
      <c r="E67" s="64" t="inlineStr">
        <is>
          <t>Inova</t>
        </is>
      </c>
      <c r="F67" s="64" t="n">
        <v>1</v>
      </c>
      <c r="G67" s="64" t="n">
        <v>4</v>
      </c>
      <c r="H67" s="64" t="n">
        <v>1</v>
      </c>
      <c r="I67" s="64" t="n">
        <v>3</v>
      </c>
      <c r="J67" s="64" t="n">
        <v>5</v>
      </c>
      <c r="K67" s="64" t="n">
        <v>3</v>
      </c>
      <c r="L67" s="66">
        <f>ROUND($B$3*G67+$B$4*H67+$B$5*I67+$B$6*J67+$B$7*K67+IF(F67&lt;=1,$B$8,0),2)</f>
        <v/>
      </c>
      <c r="M67" s="64">
        <f>IF(L67&gt;=4.3,"🥇 Top",IF(L67&gt;=3.8,"🥈 Fuerte",IF(L67&gt;=3.3,"🥉 Considerar","—")))</f>
        <v/>
      </c>
      <c r="N67" s="64" t="inlineStr">
        <is>
          <t>Economics Regional Scholarship (Sudamérica): 2×100% tuition + 1×100% e</t>
        </is>
      </c>
    </row>
    <row r="68" ht="23.25" customHeight="1" s="47">
      <c r="A68" s="64" t="n">
        <v>57</v>
      </c>
      <c r="B68" s="65" t="inlineStr">
        <is>
          <t>Warwick (Dept. Economics)</t>
        </is>
      </c>
      <c r="C68" s="64" t="inlineStr">
        <is>
          <t>MSc Economics &amp; Data Science</t>
        </is>
      </c>
      <c r="D68" s="64" t="inlineStr">
        <is>
          <t>UK</t>
        </is>
      </c>
      <c r="E68" s="64" t="inlineStr">
        <is>
          <t>Inova</t>
        </is>
      </c>
      <c r="F68" s="64" t="n">
        <v>1</v>
      </c>
      <c r="G68" s="64" t="n">
        <v>4</v>
      </c>
      <c r="H68" s="64" t="n">
        <v>1</v>
      </c>
      <c r="I68" s="64" t="n">
        <v>3</v>
      </c>
      <c r="J68" s="64" t="n">
        <v>5</v>
      </c>
      <c r="K68" s="64" t="n">
        <v>3</v>
      </c>
      <c r="L68" s="66">
        <f>ROUND($B$3*G68+$B$4*H68+$B$5*I68+$B$6*J68+$B$7*K68+IF(F68&lt;=1,$B$8,0),2)</f>
        <v/>
      </c>
      <c r="M68" s="64">
        <f>IF(L68&gt;=4.3,"🥇 Top",IF(L68&gt;=3.8,"🥈 Fuerte",IF(L68&gt;=3.3,"🥉 Considerar","—")))</f>
        <v/>
      </c>
      <c r="N68" s="64" t="inlineStr">
        <is>
          <t>Mismas becas regionales Sudamérica 100% tuition</t>
        </is>
      </c>
    </row>
    <row r="69" ht="23.25" customHeight="1" s="47">
      <c r="A69" s="64" t="n">
        <v>58</v>
      </c>
      <c r="B69" s="65" t="inlineStr">
        <is>
          <t>Bocconi University</t>
        </is>
      </c>
      <c r="C69" s="64" t="inlineStr">
        <is>
          <t>MSc Economic &amp; Social Sciences (ESS) / Econ &amp; Mgmt of Govt</t>
        </is>
      </c>
      <c r="D69" s="64" t="inlineStr">
        <is>
          <t>🇮🇹</t>
        </is>
      </c>
      <c r="E69" s="64" t="inlineStr">
        <is>
          <t>Directa</t>
        </is>
      </c>
      <c r="F69" s="64" t="n">
        <v>2</v>
      </c>
      <c r="G69" s="64" t="n">
        <v>4</v>
      </c>
      <c r="H69" s="64" t="n">
        <v>2</v>
      </c>
      <c r="I69" s="64" t="n">
        <v>3</v>
      </c>
      <c r="J69" s="64" t="n">
        <v>5</v>
      </c>
      <c r="K69" s="64" t="n">
        <v>3</v>
      </c>
      <c r="L69" s="66">
        <f>ROUND($B$3*G69+$B$4*H69+$B$5*I69+$B$6*J69+$B$7*K69+IF(F69&lt;=1,$B$8,0),2)</f>
        <v/>
      </c>
      <c r="M69" s="64">
        <f>IF(L69&gt;=4.3,"🥇 Top",IF(L69&gt;=3.8,"🥈 Fuerte",IF(L69&gt;=3.3,"🥉 Considerar","—")))</f>
        <v/>
      </c>
      <c r="N69" s="64" t="inlineStr">
        <is>
          <t>Bocconi Merit Award (hasta 100%)</t>
        </is>
      </c>
    </row>
    <row r="70" ht="23.25" customHeight="1" s="47">
      <c r="A70" s="64" t="n">
        <v>59</v>
      </c>
      <c r="B70" s="65" t="inlineStr">
        <is>
          <t>ISEG / Católica Lisbon</t>
        </is>
      </c>
      <c r="C70" s="64" t="inlineStr">
        <is>
          <t>Master in Monetary &amp; Financial Economics</t>
        </is>
      </c>
      <c r="D70" s="64" t="inlineStr">
        <is>
          <t>🇵🇹</t>
        </is>
      </c>
      <c r="E70" s="64" t="inlineStr">
        <is>
          <t>Directa</t>
        </is>
      </c>
      <c r="F70" s="64" t="n">
        <v>2</v>
      </c>
      <c r="G70" s="64" t="n">
        <v>4</v>
      </c>
      <c r="H70" s="64" t="n">
        <v>4</v>
      </c>
      <c r="I70" s="64" t="n">
        <v>3</v>
      </c>
      <c r="J70" s="64" t="n">
        <v>2</v>
      </c>
      <c r="K70" s="64" t="n">
        <v>4</v>
      </c>
      <c r="L70" s="66">
        <f>ROUND($B$3*G70+$B$4*H70+$B$5*I70+$B$6*J70+$B$7*K70+IF(F70&lt;=1,$B$8,0),2)</f>
        <v/>
      </c>
      <c r="M70" s="64">
        <f>IF(L70&gt;=4.3,"🥇 Top",IF(L70&gt;=3.8,"🥈 Fuerte",IF(L70&gt;=3.3,"🥉 Considerar","—")))</f>
        <v/>
      </c>
      <c r="N70" s="64" t="inlineStr">
        <is>
          <t>Becas parciales</t>
        </is>
      </c>
    </row>
    <row r="71" ht="15" customHeight="1" s="47">
      <c r="A71" s="64" t="n">
        <v>60</v>
      </c>
      <c r="B71" s="65" t="inlineStr">
        <is>
          <t>Manchester</t>
        </is>
      </c>
      <c r="C71" s="64" t="inlineStr">
        <is>
          <t>MSc Financial Economics</t>
        </is>
      </c>
      <c r="D71" s="64" t="inlineStr">
        <is>
          <t>UK</t>
        </is>
      </c>
      <c r="E71" s="64" t="inlineStr">
        <is>
          <t>Inova</t>
        </is>
      </c>
      <c r="F71" s="64" t="n">
        <v>1</v>
      </c>
      <c r="G71" s="64" t="n">
        <v>5</v>
      </c>
      <c r="H71" s="64" t="n">
        <v>1</v>
      </c>
      <c r="I71" s="64" t="n">
        <v>2</v>
      </c>
      <c r="J71" s="64" t="n">
        <v>4</v>
      </c>
      <c r="K71" s="64" t="n">
        <v>4</v>
      </c>
      <c r="L71" s="66">
        <f>ROUND($B$3*G71+$B$4*H71+$B$5*I71+$B$6*J71+$B$7*K71+IF(F71&lt;=1,$B$8,0),2)</f>
        <v/>
      </c>
      <c r="M71" s="64">
        <f>IF(L71&gt;=4.3,"🥇 Top",IF(L71&gt;=3.8,"🥈 Fuerte",IF(L71&gt;=3.3,"🥉 Considerar","—")))</f>
        <v/>
      </c>
      <c r="N71" s="64" t="inlineStr">
        <is>
          <t>Faculty scholarships</t>
        </is>
      </c>
    </row>
    <row r="72" ht="15" customHeight="1" s="47">
      <c r="A72" s="64" t="n">
        <v>61</v>
      </c>
      <c r="B72" s="65" t="inlineStr">
        <is>
          <t>Glasgow</t>
        </is>
      </c>
      <c r="C72" s="64" t="inlineStr">
        <is>
          <t>MSc Economic Development</t>
        </is>
      </c>
      <c r="D72" s="64" t="inlineStr">
        <is>
          <t>UK</t>
        </is>
      </c>
      <c r="E72" s="64" t="inlineStr">
        <is>
          <t>Inova</t>
        </is>
      </c>
      <c r="F72" s="64" t="n">
        <v>1</v>
      </c>
      <c r="G72" s="64" t="n">
        <v>5</v>
      </c>
      <c r="H72" s="64" t="n">
        <v>1</v>
      </c>
      <c r="I72" s="64" t="n">
        <v>3</v>
      </c>
      <c r="J72" s="64" t="n">
        <v>3</v>
      </c>
      <c r="K72" s="64" t="n">
        <v>4</v>
      </c>
      <c r="L72" s="66">
        <f>ROUND($B$3*G72+$B$4*H72+$B$5*I72+$B$6*J72+$B$7*K72+IF(F72&lt;=1,$B$8,0),2)</f>
        <v/>
      </c>
      <c r="M72" s="64">
        <f>IF(L72&gt;=4.3,"🥇 Top",IF(L72&gt;=3.8,"🥈 Fuerte",IF(L72&gt;=3.3,"🥉 Considerar","—")))</f>
        <v/>
      </c>
      <c r="N72" s="64" t="inlineStr">
        <is>
          <t>ASBS Scholarship £15,000 + EU £5,000</t>
        </is>
      </c>
    </row>
    <row r="73" ht="23.25" customHeight="1" s="47">
      <c r="A73" s="64" t="n">
        <v>62</v>
      </c>
      <c r="B73" s="65" t="inlineStr">
        <is>
          <t>Glasgow</t>
        </is>
      </c>
      <c r="C73" s="64" t="inlineStr">
        <is>
          <t>MSc Economics, Intl Banking &amp; Finance</t>
        </is>
      </c>
      <c r="D73" s="64" t="inlineStr">
        <is>
          <t>UK</t>
        </is>
      </c>
      <c r="E73" s="64" t="inlineStr">
        <is>
          <t>Inova</t>
        </is>
      </c>
      <c r="F73" s="64" t="n">
        <v>1</v>
      </c>
      <c r="G73" s="64" t="n">
        <v>5</v>
      </c>
      <c r="H73" s="64" t="n">
        <v>1</v>
      </c>
      <c r="I73" s="64" t="n">
        <v>3</v>
      </c>
      <c r="J73" s="64" t="n">
        <v>3</v>
      </c>
      <c r="K73" s="64" t="n">
        <v>4</v>
      </c>
      <c r="L73" s="66">
        <f>ROUND($B$3*G73+$B$4*H73+$B$5*I73+$B$6*J73+$B$7*K73+IF(F73&lt;=1,$B$8,0),2)</f>
        <v/>
      </c>
      <c r="M73" s="64">
        <f>IF(L73&gt;=4.3,"🥇 Top",IF(L73&gt;=3.8,"🥈 Fuerte",IF(L73&gt;=3.3,"🥉 Considerar","—")))</f>
        <v/>
      </c>
      <c r="N73" s="64" t="inlineStr">
        <is>
          <t>ASBS Scholarship £15,000 + EU £5,000</t>
        </is>
      </c>
    </row>
    <row r="74" ht="15" customHeight="1" s="47">
      <c r="A74" s="64" t="n">
        <v>63</v>
      </c>
      <c r="B74" s="65" t="inlineStr">
        <is>
          <t>Bath</t>
        </is>
      </c>
      <c r="C74" s="64" t="inlineStr">
        <is>
          <t>MSc Intl Development with Economics</t>
        </is>
      </c>
      <c r="D74" s="64" t="inlineStr">
        <is>
          <t>UK</t>
        </is>
      </c>
      <c r="E74" s="64" t="inlineStr">
        <is>
          <t>Inova</t>
        </is>
      </c>
      <c r="F74" s="64" t="n">
        <v>1</v>
      </c>
      <c r="G74" s="64" t="n">
        <v>5</v>
      </c>
      <c r="H74" s="64" t="n">
        <v>1</v>
      </c>
      <c r="I74" s="64" t="n">
        <v>3</v>
      </c>
      <c r="J74" s="64" t="n">
        <v>3</v>
      </c>
      <c r="K74" s="64" t="n">
        <v>4</v>
      </c>
      <c r="L74" s="66">
        <f>ROUND($B$3*G74+$B$4*H74+$B$5*I74+$B$6*J74+$B$7*K74+IF(F74&lt;=1,$B$8,0),2)</f>
        <v/>
      </c>
      <c r="M74" s="64">
        <f>IF(L74&gt;=4.3,"🥇 Top",IF(L74&gt;=3.8,"🥈 Fuerte",IF(L74&gt;=3.3,"🥉 Considerar","—")))</f>
        <v/>
      </c>
      <c r="N74" s="64" t="inlineStr">
        <is>
          <t>Global Excellence £10,000</t>
        </is>
      </c>
    </row>
    <row r="75" ht="15" customHeight="1" s="47">
      <c r="A75" s="64" t="n">
        <v>64</v>
      </c>
      <c r="B75" s="65" t="inlineStr">
        <is>
          <t>LSE</t>
        </is>
      </c>
      <c r="C75" s="64" t="inlineStr">
        <is>
          <t>MSc Economics</t>
        </is>
      </c>
      <c r="D75" s="64" t="inlineStr">
        <is>
          <t>UK</t>
        </is>
      </c>
      <c r="E75" s="64" t="inlineStr">
        <is>
          <t>Directa</t>
        </is>
      </c>
      <c r="F75" s="64" t="n">
        <v>1</v>
      </c>
      <c r="G75" s="64" t="n">
        <v>5</v>
      </c>
      <c r="H75" s="64" t="n">
        <v>1</v>
      </c>
      <c r="I75" s="64" t="n">
        <v>2</v>
      </c>
      <c r="J75" s="64" t="n">
        <v>5</v>
      </c>
      <c r="K75" s="64" t="n">
        <v>2</v>
      </c>
      <c r="L75" s="66">
        <f>ROUND($B$3*G75+$B$4*H75+$B$5*I75+$B$6*J75+$B$7*K75+IF(F75&lt;=1,$B$8,0),2)</f>
        <v/>
      </c>
      <c r="M75" s="64">
        <f>IF(L75&gt;=4.3,"🥇 Top",IF(L75&gt;=3.8,"🥈 Fuerte",IF(L75&gt;=3.3,"🥉 Considerar","—")))</f>
        <v/>
      </c>
      <c r="N75" s="64" t="inlineStr">
        <is>
          <t>LSE Graduate Support Scheme; Chevening</t>
        </is>
      </c>
    </row>
    <row r="76" ht="15" customHeight="1" s="47">
      <c r="A76" s="64" t="n">
        <v>65</v>
      </c>
      <c r="B76" s="65" t="inlineStr">
        <is>
          <t>LSE</t>
        </is>
      </c>
      <c r="C76" s="64" t="inlineStr">
        <is>
          <t>MSc Finance &amp; Economics</t>
        </is>
      </c>
      <c r="D76" s="64" t="inlineStr">
        <is>
          <t>UK</t>
        </is>
      </c>
      <c r="E76" s="64" t="inlineStr">
        <is>
          <t>Directa</t>
        </is>
      </c>
      <c r="F76" s="64" t="n">
        <v>1</v>
      </c>
      <c r="G76" s="64" t="n">
        <v>5</v>
      </c>
      <c r="H76" s="64" t="n">
        <v>1</v>
      </c>
      <c r="I76" s="64" t="n">
        <v>2</v>
      </c>
      <c r="J76" s="64" t="n">
        <v>5</v>
      </c>
      <c r="K76" s="64" t="n">
        <v>2</v>
      </c>
      <c r="L76" s="66">
        <f>ROUND($B$3*G76+$B$4*H76+$B$5*I76+$B$6*J76+$B$7*K76+IF(F76&lt;=1,$B$8,0),2)</f>
        <v/>
      </c>
      <c r="M76" s="64">
        <f>IF(L76&gt;=4.3,"🥇 Top",IF(L76&gt;=3.8,"🥈 Fuerte",IF(L76&gt;=3.3,"🥉 Considerar","—")))</f>
        <v/>
      </c>
      <c r="N76" s="64" t="inlineStr">
        <is>
          <t>LSE GSS; Chevening</t>
        </is>
      </c>
    </row>
    <row r="77" ht="23.25" customHeight="1" s="47">
      <c r="A77" s="64" t="n">
        <v>66</v>
      </c>
      <c r="B77" s="65" t="inlineStr">
        <is>
          <t>Bristol</t>
        </is>
      </c>
      <c r="C77" s="64" t="inlineStr">
        <is>
          <t>MSc Economics (paths: General/Macro/Econ Policy)</t>
        </is>
      </c>
      <c r="D77" s="64" t="inlineStr">
        <is>
          <t>UK</t>
        </is>
      </c>
      <c r="E77" s="64" t="inlineStr">
        <is>
          <t>Inova</t>
        </is>
      </c>
      <c r="F77" s="64" t="n">
        <v>1</v>
      </c>
      <c r="G77" s="64" t="n">
        <v>4</v>
      </c>
      <c r="H77" s="64" t="n">
        <v>1</v>
      </c>
      <c r="I77" s="64" t="n">
        <v>3</v>
      </c>
      <c r="J77" s="64" t="n">
        <v>4</v>
      </c>
      <c r="K77" s="64" t="n">
        <v>4</v>
      </c>
      <c r="L77" s="66">
        <f>ROUND($B$3*G77+$B$4*H77+$B$5*I77+$B$6*J77+$B$7*K77+IF(F77&lt;=1,$B$8,0),2)</f>
        <v/>
      </c>
      <c r="M77" s="64">
        <f>IF(L77&gt;=4.3,"🥇 Top",IF(L77&gt;=3.8,"🥈 Fuerte",IF(L77&gt;=3.3,"🥉 Considerar","—")))</f>
        <v/>
      </c>
      <c r="N77" s="64" t="inlineStr">
        <is>
          <t>Think Big Scholarship £26,000 + Career Accelerator £3,000</t>
        </is>
      </c>
    </row>
    <row r="78" ht="23.25" customHeight="1" s="47">
      <c r="A78" s="67" t="n">
        <v>67</v>
      </c>
      <c r="B78" s="68" t="inlineStr">
        <is>
          <t>Edinburgh (SGPE)</t>
        </is>
      </c>
      <c r="C78" s="67" t="inlineStr">
        <is>
          <t>MSc Economics (también: Econometrics / Finance)</t>
        </is>
      </c>
      <c r="D78" s="67" t="inlineStr">
        <is>
          <t>UK</t>
        </is>
      </c>
      <c r="E78" s="67" t="inlineStr">
        <is>
          <t>Inova</t>
        </is>
      </c>
      <c r="F78" s="67" t="n">
        <v>1</v>
      </c>
      <c r="G78" s="67" t="n">
        <v>4</v>
      </c>
      <c r="H78" s="67" t="n">
        <v>1</v>
      </c>
      <c r="I78" s="67" t="n">
        <v>3</v>
      </c>
      <c r="J78" s="67" t="n">
        <v>4</v>
      </c>
      <c r="K78" s="67" t="n">
        <v>3</v>
      </c>
      <c r="L78" s="69">
        <f>ROUND($B$3*G78+$B$4*H78+$B$5*I78+$B$6*J78+$B$7*K78+IF(F78&lt;=1,$B$8,0),2)</f>
        <v/>
      </c>
      <c r="M78" s="67">
        <f>IF(L78&gt;=4.3,"🥇 Top",IF(L78&gt;=3.8,"🥈 Fuerte",IF(L78&gt;=3.3,"🥉 Considerar","—")))</f>
        <v/>
      </c>
      <c r="N78" s="67" t="inlineStr">
        <is>
          <t>25% fee discount outstanding + ESRC 1+3 (PhD-track fully funded)</t>
        </is>
      </c>
    </row>
    <row r="79" ht="15" customHeight="1" s="47">
      <c r="A79" s="67" t="n">
        <v>68</v>
      </c>
      <c r="B79" s="68" t="inlineStr">
        <is>
          <t>York</t>
        </is>
      </c>
      <c r="C79" s="67" t="inlineStr">
        <is>
          <t>MSc Econometrics and Economics</t>
        </is>
      </c>
      <c r="D79" s="67" t="inlineStr">
        <is>
          <t>UK</t>
        </is>
      </c>
      <c r="E79" s="67" t="inlineStr">
        <is>
          <t>Inova</t>
        </is>
      </c>
      <c r="F79" s="67" t="n">
        <v>1</v>
      </c>
      <c r="G79" s="67" t="n">
        <v>5</v>
      </c>
      <c r="H79" s="67" t="n">
        <v>1</v>
      </c>
      <c r="I79" s="67" t="n">
        <v>2</v>
      </c>
      <c r="J79" s="67" t="n">
        <v>3</v>
      </c>
      <c r="K79" s="67" t="n">
        <v>4</v>
      </c>
      <c r="L79" s="69">
        <f>ROUND($B$3*G79+$B$4*H79+$B$5*I79+$B$6*J79+$B$7*K79+IF(F79&lt;=1,$B$8,0),2)</f>
        <v/>
      </c>
      <c r="M79" s="67">
        <f>IF(L79&gt;=4.3,"🥇 Top",IF(L79&gt;=3.8,"🥈 Fuerte",IF(L79&gt;=3.3,"🥉 Considerar","—")))</f>
        <v/>
      </c>
      <c r="N79" s="67" t="inlineStr">
        <is>
          <t>Merit Scholarships</t>
        </is>
      </c>
    </row>
    <row r="80" ht="23.25" customHeight="1" s="47">
      <c r="A80" s="67" t="n">
        <v>69</v>
      </c>
      <c r="B80" s="68" t="inlineStr">
        <is>
          <t>York</t>
        </is>
      </c>
      <c r="C80" s="67" t="inlineStr">
        <is>
          <t>MSc Development Economics &amp; Emerging Markets</t>
        </is>
      </c>
      <c r="D80" s="67" t="inlineStr">
        <is>
          <t>UK</t>
        </is>
      </c>
      <c r="E80" s="67" t="inlineStr">
        <is>
          <t>Inova</t>
        </is>
      </c>
      <c r="F80" s="67" t="n">
        <v>1</v>
      </c>
      <c r="G80" s="67" t="n">
        <v>5</v>
      </c>
      <c r="H80" s="67" t="n">
        <v>1</v>
      </c>
      <c r="I80" s="67" t="n">
        <v>2</v>
      </c>
      <c r="J80" s="67" t="n">
        <v>3</v>
      </c>
      <c r="K80" s="67" t="n">
        <v>4</v>
      </c>
      <c r="L80" s="69">
        <f>ROUND($B$3*G80+$B$4*H80+$B$5*I80+$B$6*J80+$B$7*K80+IF(F80&lt;=1,$B$8,0),2)</f>
        <v/>
      </c>
      <c r="M80" s="67">
        <f>IF(L80&gt;=4.3,"🥇 Top",IF(L80&gt;=3.8,"🥈 Fuerte",IF(L80&gt;=3.3,"🥉 Considerar","—")))</f>
        <v/>
      </c>
      <c r="N80" s="67" t="inlineStr">
        <is>
          <t>Merit Scholarships</t>
        </is>
      </c>
    </row>
    <row r="81" ht="15" customHeight="1" s="47">
      <c r="A81" s="67" t="n">
        <v>70</v>
      </c>
      <c r="B81" s="68" t="inlineStr">
        <is>
          <t>Essex</t>
        </is>
      </c>
      <c r="C81" s="67" t="inlineStr">
        <is>
          <t>MSc Financial Econometrics</t>
        </is>
      </c>
      <c r="D81" s="67" t="inlineStr">
        <is>
          <t>UK</t>
        </is>
      </c>
      <c r="E81" s="67" t="inlineStr">
        <is>
          <t>Inova</t>
        </is>
      </c>
      <c r="F81" s="67" t="n">
        <v>1</v>
      </c>
      <c r="G81" s="67" t="n">
        <v>5</v>
      </c>
      <c r="H81" s="67" t="n">
        <v>1</v>
      </c>
      <c r="I81" s="67" t="n">
        <v>2</v>
      </c>
      <c r="J81" s="67" t="n">
        <v>3</v>
      </c>
      <c r="K81" s="67" t="n">
        <v>4</v>
      </c>
      <c r="L81" s="69">
        <f>ROUND($B$3*G81+$B$4*H81+$B$5*I81+$B$6*J81+$B$7*K81+IF(F81&lt;=1,$B$8,0),2)</f>
        <v/>
      </c>
      <c r="M81" s="67">
        <f>IF(L81&gt;=4.3,"🥇 Top",IF(L81&gt;=3.8,"🥈 Fuerte",IF(L81&gt;=3.3,"🥉 Considerar","—")))</f>
        <v/>
      </c>
      <c r="N81" s="67" t="inlineStr">
        <is>
          <t>Dept Scholarship £5,000</t>
        </is>
      </c>
    </row>
    <row r="82" ht="15" customHeight="1" s="47">
      <c r="A82" s="67" t="n">
        <v>71</v>
      </c>
      <c r="B82" s="68" t="inlineStr">
        <is>
          <t>Essex</t>
        </is>
      </c>
      <c r="C82" s="67" t="inlineStr">
        <is>
          <t>MSc Money &amp; Banking</t>
        </is>
      </c>
      <c r="D82" s="67" t="inlineStr">
        <is>
          <t>UK</t>
        </is>
      </c>
      <c r="E82" s="67" t="inlineStr">
        <is>
          <t>Inova</t>
        </is>
      </c>
      <c r="F82" s="67" t="n">
        <v>1</v>
      </c>
      <c r="G82" s="67" t="n">
        <v>5</v>
      </c>
      <c r="H82" s="67" t="n">
        <v>1</v>
      </c>
      <c r="I82" s="67" t="n">
        <v>2</v>
      </c>
      <c r="J82" s="67" t="n">
        <v>3</v>
      </c>
      <c r="K82" s="67" t="n">
        <v>4</v>
      </c>
      <c r="L82" s="69">
        <f>ROUND($B$3*G82+$B$4*H82+$B$5*I82+$B$6*J82+$B$7*K82+IF(F82&lt;=1,$B$8,0),2)</f>
        <v/>
      </c>
      <c r="M82" s="67">
        <f>IF(L82&gt;=4.3,"🥇 Top",IF(L82&gt;=3.8,"🥈 Fuerte",IF(L82&gt;=3.3,"🥉 Considerar","—")))</f>
        <v/>
      </c>
      <c r="N82" s="67" t="inlineStr">
        <is>
          <t>Dept Scholarship £5,000</t>
        </is>
      </c>
    </row>
    <row r="83" ht="15" customHeight="1" s="47">
      <c r="A83" s="67" t="n">
        <v>72</v>
      </c>
      <c r="B83" s="68" t="inlineStr">
        <is>
          <t>Essex</t>
        </is>
      </c>
      <c r="C83" s="67" t="inlineStr">
        <is>
          <t>MSc Quantitative Intl Development</t>
        </is>
      </c>
      <c r="D83" s="67" t="inlineStr">
        <is>
          <t>UK</t>
        </is>
      </c>
      <c r="E83" s="67" t="inlineStr">
        <is>
          <t>Inova</t>
        </is>
      </c>
      <c r="F83" s="67" t="n">
        <v>1</v>
      </c>
      <c r="G83" s="67" t="n">
        <v>5</v>
      </c>
      <c r="H83" s="67" t="n">
        <v>1</v>
      </c>
      <c r="I83" s="67" t="n">
        <v>2</v>
      </c>
      <c r="J83" s="67" t="n">
        <v>3</v>
      </c>
      <c r="K83" s="67" t="n">
        <v>4</v>
      </c>
      <c r="L83" s="69">
        <f>ROUND($B$3*G83+$B$4*H83+$B$5*I83+$B$6*J83+$B$7*K83+IF(F83&lt;=1,$B$8,0),2)</f>
        <v/>
      </c>
      <c r="M83" s="67">
        <f>IF(L83&gt;=4.3,"🥇 Top",IF(L83&gt;=3.8,"🥈 Fuerte",IF(L83&gt;=3.3,"🥉 Considerar","—")))</f>
        <v/>
      </c>
      <c r="N83" s="67" t="inlineStr">
        <is>
          <t>Dept Scholarship £5,000</t>
        </is>
      </c>
    </row>
    <row r="84" ht="23.25" customHeight="1" s="47">
      <c r="A84" s="67" t="n">
        <v>73</v>
      </c>
      <c r="B84" s="68" t="inlineStr">
        <is>
          <t>Exeter</t>
        </is>
      </c>
      <c r="C84" s="67" t="inlineStr">
        <is>
          <t>MSc Economics (International Development)</t>
        </is>
      </c>
      <c r="D84" s="67" t="inlineStr">
        <is>
          <t>UK</t>
        </is>
      </c>
      <c r="E84" s="67" t="inlineStr">
        <is>
          <t>Inova</t>
        </is>
      </c>
      <c r="F84" s="67" t="n">
        <v>1</v>
      </c>
      <c r="G84" s="67" t="n">
        <v>5</v>
      </c>
      <c r="H84" s="67" t="n">
        <v>1</v>
      </c>
      <c r="I84" s="67" t="n">
        <v>2</v>
      </c>
      <c r="J84" s="67" t="n">
        <v>3</v>
      </c>
      <c r="K84" s="67" t="n">
        <v>4</v>
      </c>
      <c r="L84" s="69">
        <f>ROUND($B$3*G84+$B$4*H84+$B$5*I84+$B$6*J84+$B$7*K84+IF(F84&lt;=1,$B$8,0),2)</f>
        <v/>
      </c>
      <c r="M84" s="67">
        <f>IF(L84&gt;=4.3,"🥇 Top",IF(L84&gt;=3.8,"🥈 Fuerte",IF(L84&gt;=3.3,"🥉 Considerar","—")))</f>
        <v/>
      </c>
      <c r="N84" s="67" t="inlineStr">
        <is>
          <t>Global Excellence £5,000+</t>
        </is>
      </c>
    </row>
    <row r="85" ht="23.25" customHeight="1" s="47">
      <c r="A85" s="67" t="n">
        <v>74</v>
      </c>
      <c r="B85" s="68" t="inlineStr">
        <is>
          <t>Sussex</t>
        </is>
      </c>
      <c r="C85" s="67" t="inlineStr">
        <is>
          <t>MSc International Finance and Economics</t>
        </is>
      </c>
      <c r="D85" s="67" t="inlineStr">
        <is>
          <t>UK</t>
        </is>
      </c>
      <c r="E85" s="67" t="inlineStr">
        <is>
          <t>Inova</t>
        </is>
      </c>
      <c r="F85" s="67" t="n">
        <v>1</v>
      </c>
      <c r="G85" s="67" t="n">
        <v>4</v>
      </c>
      <c r="H85" s="67" t="n">
        <v>1</v>
      </c>
      <c r="I85" s="67" t="n">
        <v>3</v>
      </c>
      <c r="J85" s="67" t="n">
        <v>3</v>
      </c>
      <c r="K85" s="67" t="n">
        <v>4</v>
      </c>
      <c r="L85" s="69">
        <f>ROUND($B$3*G85+$B$4*H85+$B$5*I85+$B$6*J85+$B$7*K85+IF(F85&lt;=1,$B$8,0),2)</f>
        <v/>
      </c>
      <c r="M85" s="67">
        <f>IF(L85&gt;=4.3,"🥇 Top",IF(L85&gt;=3.8,"🥈 Fuerte",IF(L85&gt;=3.3,"🥉 Considerar","—")))</f>
        <v/>
      </c>
      <c r="N85" s="67" t="inlineStr">
        <is>
          <t>BBS automatic £2,000</t>
        </is>
      </c>
    </row>
    <row r="86" ht="15" customHeight="1" s="47">
      <c r="A86" s="67" t="n">
        <v>75</v>
      </c>
      <c r="B86" s="68" t="inlineStr">
        <is>
          <t>Manchester</t>
        </is>
      </c>
      <c r="C86" s="67" t="inlineStr">
        <is>
          <t>MSc Economics</t>
        </is>
      </c>
      <c r="D86" s="67" t="inlineStr">
        <is>
          <t>UK</t>
        </is>
      </c>
      <c r="E86" s="67" t="inlineStr">
        <is>
          <t>Inova</t>
        </is>
      </c>
      <c r="F86" s="67" t="n">
        <v>1</v>
      </c>
      <c r="G86" s="67" t="n">
        <v>4</v>
      </c>
      <c r="H86" s="67" t="n">
        <v>1</v>
      </c>
      <c r="I86" s="67" t="n">
        <v>2</v>
      </c>
      <c r="J86" s="67" t="n">
        <v>4</v>
      </c>
      <c r="K86" s="67" t="n">
        <v>4</v>
      </c>
      <c r="L86" s="69">
        <f>ROUND($B$3*G86+$B$4*H86+$B$5*I86+$B$6*J86+$B$7*K86+IF(F86&lt;=1,$B$8,0),2)</f>
        <v/>
      </c>
      <c r="M86" s="67">
        <f>IF(L86&gt;=4.3,"🥇 Top",IF(L86&gt;=3.8,"🥈 Fuerte",IF(L86&gt;=3.3,"🥉 Considerar","—")))</f>
        <v/>
      </c>
      <c r="N86" s="67" t="inlineStr">
        <is>
          <t>Faculty scholarships (consultar funding DB)</t>
        </is>
      </c>
    </row>
    <row r="87" ht="15" customHeight="1" s="47">
      <c r="A87" s="67" t="n">
        <v>76</v>
      </c>
      <c r="B87" s="68" t="inlineStr">
        <is>
          <t>Manchester</t>
        </is>
      </c>
      <c r="C87" s="67" t="inlineStr">
        <is>
          <t>MSc Economics &amp; Data Science</t>
        </is>
      </c>
      <c r="D87" s="67" t="inlineStr">
        <is>
          <t>UK</t>
        </is>
      </c>
      <c r="E87" s="67" t="inlineStr">
        <is>
          <t>Inova</t>
        </is>
      </c>
      <c r="F87" s="67" t="n">
        <v>1</v>
      </c>
      <c r="G87" s="67" t="n">
        <v>4</v>
      </c>
      <c r="H87" s="67" t="n">
        <v>1</v>
      </c>
      <c r="I87" s="67" t="n">
        <v>2</v>
      </c>
      <c r="J87" s="67" t="n">
        <v>4</v>
      </c>
      <c r="K87" s="67" t="n">
        <v>4</v>
      </c>
      <c r="L87" s="69">
        <f>ROUND($B$3*G87+$B$4*H87+$B$5*I87+$B$6*J87+$B$7*K87+IF(F87&lt;=1,$B$8,0),2)</f>
        <v/>
      </c>
      <c r="M87" s="67">
        <f>IF(L87&gt;=4.3,"🥇 Top",IF(L87&gt;=3.8,"🥈 Fuerte",IF(L87&gt;=3.3,"🥉 Considerar","—")))</f>
        <v/>
      </c>
      <c r="N87" s="67" t="inlineStr">
        <is>
          <t>Faculty scholarships</t>
        </is>
      </c>
    </row>
    <row r="88" ht="23.25" customHeight="1" s="47">
      <c r="A88" s="67" t="n">
        <v>77</v>
      </c>
      <c r="B88" s="68" t="inlineStr">
        <is>
          <t>Glasgow</t>
        </is>
      </c>
      <c r="C88" s="67" t="inlineStr">
        <is>
          <t>MSc Economics</t>
        </is>
      </c>
      <c r="D88" s="67" t="inlineStr">
        <is>
          <t>UK</t>
        </is>
      </c>
      <c r="E88" s="67" t="inlineStr">
        <is>
          <t>Inova</t>
        </is>
      </c>
      <c r="F88" s="67" t="n">
        <v>1</v>
      </c>
      <c r="G88" s="67" t="n">
        <v>4</v>
      </c>
      <c r="H88" s="67" t="n">
        <v>1</v>
      </c>
      <c r="I88" s="67" t="n">
        <v>3</v>
      </c>
      <c r="J88" s="67" t="n">
        <v>3</v>
      </c>
      <c r="K88" s="67" t="n">
        <v>4</v>
      </c>
      <c r="L88" s="69">
        <f>ROUND($B$3*G88+$B$4*H88+$B$5*I88+$B$6*J88+$B$7*K88+IF(F88&lt;=1,$B$8,0),2)</f>
        <v/>
      </c>
      <c r="M88" s="67">
        <f>IF(L88&gt;=4.3,"🥇 Top",IF(L88&gt;=3.8,"🥈 Fuerte",IF(L88&gt;=3.3,"🥉 Considerar","—")))</f>
        <v/>
      </c>
      <c r="N88" s="67" t="inlineStr">
        <is>
          <t>ASBS Economics Scholarship £15,000 + EU Scholarship £5,000 (por ciudad</t>
        </is>
      </c>
    </row>
    <row r="89" ht="23.25" customHeight="1" s="47">
      <c r="A89" s="67" t="n">
        <v>78</v>
      </c>
      <c r="B89" s="68" t="inlineStr">
        <is>
          <t>Bath</t>
        </is>
      </c>
      <c r="C89" s="67" t="inlineStr">
        <is>
          <t>MSc Economics &amp; Finance</t>
        </is>
      </c>
      <c r="D89" s="67" t="inlineStr">
        <is>
          <t>UK</t>
        </is>
      </c>
      <c r="E89" s="67" t="inlineStr">
        <is>
          <t>Inova</t>
        </is>
      </c>
      <c r="F89" s="67" t="n">
        <v>1</v>
      </c>
      <c r="G89" s="67" t="n">
        <v>4</v>
      </c>
      <c r="H89" s="67" t="n">
        <v>1</v>
      </c>
      <c r="I89" s="67" t="n">
        <v>3</v>
      </c>
      <c r="J89" s="67" t="n">
        <v>3</v>
      </c>
      <c r="K89" s="67" t="n">
        <v>4</v>
      </c>
      <c r="L89" s="69">
        <f>ROUND($B$3*G89+$B$4*H89+$B$5*I89+$B$6*J89+$B$7*K89+IF(F89&lt;=1,$B$8,0),2)</f>
        <v/>
      </c>
      <c r="M89" s="67">
        <f>IF(L89&gt;=4.3,"🥇 Top",IF(L89&gt;=3.8,"🥈 Fuerte",IF(L89&gt;=3.3,"🥉 Considerar","—")))</f>
        <v/>
      </c>
      <c r="N89" s="67" t="inlineStr">
        <is>
          <t>Global Excellence £10,000 + Merit £5,000</t>
        </is>
      </c>
    </row>
    <row r="90" ht="23.25" customHeight="1" s="47">
      <c r="A90" s="67" t="n">
        <v>79</v>
      </c>
      <c r="B90" s="68" t="inlineStr">
        <is>
          <t>Leeds</t>
        </is>
      </c>
      <c r="C90" s="67" t="inlineStr">
        <is>
          <t>MSc Economics &amp; Finance</t>
        </is>
      </c>
      <c r="D90" s="67" t="inlineStr">
        <is>
          <t>UK</t>
        </is>
      </c>
      <c r="E90" s="67" t="inlineStr">
        <is>
          <t>Inova</t>
        </is>
      </c>
      <c r="F90" s="67" t="n">
        <v>1</v>
      </c>
      <c r="G90" s="67" t="n">
        <v>4</v>
      </c>
      <c r="H90" s="67" t="n">
        <v>1</v>
      </c>
      <c r="I90" s="67" t="n">
        <v>3</v>
      </c>
      <c r="J90" s="67" t="n">
        <v>3</v>
      </c>
      <c r="K90" s="67" t="n">
        <v>4</v>
      </c>
      <c r="L90" s="69">
        <f>ROUND($B$3*G90+$B$4*H90+$B$5*I90+$B$6*J90+$B$7*K90+IF(F90&lt;=1,$B$8,0),2)</f>
        <v/>
      </c>
      <c r="M90" s="67">
        <f>IF(L90&gt;=4.3,"🥇 Top",IF(L90&gt;=3.8,"🥈 Fuerte",IF(L90&gt;=3.3,"🥉 Considerar","—")))</f>
        <v/>
      </c>
      <c r="N90" s="67" t="inlineStr">
        <is>
          <t>50% Business Masters Excellence Scholarship + Intl Excellence £6,000-£</t>
        </is>
      </c>
    </row>
    <row r="91" ht="15" customHeight="1" s="47">
      <c r="A91" s="67" t="n">
        <v>80</v>
      </c>
      <c r="B91" s="68" t="inlineStr">
        <is>
          <t>Newcastle UK</t>
        </is>
      </c>
      <c r="C91" s="67" t="inlineStr">
        <is>
          <t>MSc Economics &amp; Finance</t>
        </is>
      </c>
      <c r="D91" s="67" t="inlineStr">
        <is>
          <t>UK</t>
        </is>
      </c>
      <c r="E91" s="67" t="inlineStr">
        <is>
          <t>Inova</t>
        </is>
      </c>
      <c r="F91" s="67" t="n">
        <v>1</v>
      </c>
      <c r="G91" s="67" t="n">
        <v>4</v>
      </c>
      <c r="H91" s="67" t="n">
        <v>1</v>
      </c>
      <c r="I91" s="67" t="n">
        <v>3</v>
      </c>
      <c r="J91" s="67" t="n">
        <v>3</v>
      </c>
      <c r="K91" s="67" t="n">
        <v>4</v>
      </c>
      <c r="L91" s="69">
        <f>ROUND($B$3*G91+$B$4*H91+$B$5*I91+$B$6*J91+$B$7*K91+IF(F91&lt;=1,$B$8,0),2)</f>
        <v/>
      </c>
      <c r="M91" s="67">
        <f>IF(L91&gt;=4.3,"🥇 Top",IF(L91&gt;=3.8,"🥈 Fuerte",IF(L91&gt;=3.3,"🥉 Considerar","—")))</f>
        <v/>
      </c>
      <c r="N91" s="67" t="inlineStr">
        <is>
          <t>VCES hasta 50% + EU 25%</t>
        </is>
      </c>
    </row>
    <row r="92" ht="23.25" customHeight="1" s="47">
      <c r="A92" s="67" t="n">
        <v>81</v>
      </c>
      <c r="B92" s="68" t="inlineStr">
        <is>
          <t>University of St. Gallen (HSG)</t>
        </is>
      </c>
      <c r="C92" s="67" t="inlineStr">
        <is>
          <t>MEcon (Master in Economics)</t>
        </is>
      </c>
      <c r="D92" s="67" t="inlineStr">
        <is>
          <t>🇨🇭</t>
        </is>
      </c>
      <c r="E92" s="67" t="inlineStr">
        <is>
          <t>Directa</t>
        </is>
      </c>
      <c r="F92" s="67" t="n">
        <v>1.5</v>
      </c>
      <c r="G92" s="67" t="n">
        <v>4</v>
      </c>
      <c r="H92" s="67" t="n">
        <v>2</v>
      </c>
      <c r="I92" s="67" t="n">
        <v>2</v>
      </c>
      <c r="J92" s="67" t="n">
        <v>4</v>
      </c>
      <c r="K92" s="67" t="n">
        <v>3</v>
      </c>
      <c r="L92" s="69">
        <f>ROUND($B$3*G92+$B$4*H92+$B$5*I92+$B$6*J92+$B$7*K92+IF(F92&lt;=1,$B$8,0),2)</f>
        <v/>
      </c>
      <c r="M92" s="67">
        <f>IF(L92&gt;=4.3,"🥇 Top",IF(L92&gt;=3.8,"🥈 Fuerte",IF(L92&gt;=3.3,"🥉 Considerar","—")))</f>
        <v/>
      </c>
      <c r="N92" s="67" t="inlineStr">
        <is>
          <t>HSG merit</t>
        </is>
      </c>
    </row>
    <row r="93" ht="23.25" customHeight="1" s="47">
      <c r="A93" s="67" t="n">
        <v>82</v>
      </c>
      <c r="B93" s="68" t="inlineStr">
        <is>
          <t>Birmingham</t>
        </is>
      </c>
      <c r="C93" s="67" t="inlineStr">
        <is>
          <t>MSc Economics</t>
        </is>
      </c>
      <c r="D93" s="67" t="inlineStr">
        <is>
          <t>UK</t>
        </is>
      </c>
      <c r="E93" s="67" t="inlineStr">
        <is>
          <t>Inova</t>
        </is>
      </c>
      <c r="F93" s="67" t="n">
        <v>1</v>
      </c>
      <c r="G93" s="67" t="n">
        <v>4</v>
      </c>
      <c r="H93" s="67" t="n">
        <v>1</v>
      </c>
      <c r="I93" s="67" t="n">
        <v>2</v>
      </c>
      <c r="J93" s="67" t="n">
        <v>3</v>
      </c>
      <c r="K93" s="67" t="n">
        <v>4</v>
      </c>
      <c r="L93" s="69">
        <f>ROUND($B$3*G93+$B$4*H93+$B$5*I93+$B$6*J93+$B$7*K93+IF(F93&lt;=1,$B$8,0),2)</f>
        <v/>
      </c>
      <c r="M93" s="67">
        <f>IF(L93&gt;=4.3,"🥇 Top",IF(L93&gt;=3.8,"🥈 Fuerte",IF(L93&gt;=3.3,"🥉 Considerar","—")))</f>
        <v/>
      </c>
      <c r="N93" s="67" t="inlineStr">
        <is>
          <t>BBS Masters Scholarship £5,000 + Chancellor's £6,000 (por país)</t>
        </is>
      </c>
    </row>
    <row r="94" ht="15" customHeight="1" s="47">
      <c r="A94" s="67" t="n">
        <v>83</v>
      </c>
      <c r="B94" s="68" t="inlineStr">
        <is>
          <t>Birmingham</t>
        </is>
      </c>
      <c r="C94" s="67" t="inlineStr">
        <is>
          <t>MSc Economics, AI and Data Science</t>
        </is>
      </c>
      <c r="D94" s="67" t="inlineStr">
        <is>
          <t>UK</t>
        </is>
      </c>
      <c r="E94" s="67" t="inlineStr">
        <is>
          <t>Inova</t>
        </is>
      </c>
      <c r="F94" s="67" t="n">
        <v>1</v>
      </c>
      <c r="G94" s="67" t="n">
        <v>4</v>
      </c>
      <c r="H94" s="67" t="n">
        <v>1</v>
      </c>
      <c r="I94" s="67" t="n">
        <v>2</v>
      </c>
      <c r="J94" s="67" t="n">
        <v>3</v>
      </c>
      <c r="K94" s="67" t="n">
        <v>4</v>
      </c>
      <c r="L94" s="69">
        <f>ROUND($B$3*G94+$B$4*H94+$B$5*I94+$B$6*J94+$B$7*K94+IF(F94&lt;=1,$B$8,0),2)</f>
        <v/>
      </c>
      <c r="M94" s="67">
        <f>IF(L94&gt;=4.3,"🥇 Top",IF(L94&gt;=3.8,"🥈 Fuerte",IF(L94&gt;=3.3,"🥉 Considerar","—")))</f>
        <v/>
      </c>
      <c r="N94" s="67" t="inlineStr">
        <is>
          <t>BBS Masters £5,000</t>
        </is>
      </c>
    </row>
    <row r="95" ht="15" customHeight="1" s="47">
      <c r="A95" s="67" t="n">
        <v>84</v>
      </c>
      <c r="B95" s="68" t="inlineStr">
        <is>
          <t>Essex</t>
        </is>
      </c>
      <c r="C95" s="67" t="inlineStr">
        <is>
          <t>MSc Financial Economics</t>
        </is>
      </c>
      <c r="D95" s="67" t="inlineStr">
        <is>
          <t>UK</t>
        </is>
      </c>
      <c r="E95" s="67" t="inlineStr">
        <is>
          <t>Inova</t>
        </is>
      </c>
      <c r="F95" s="67" t="n">
        <v>1</v>
      </c>
      <c r="G95" s="67" t="n">
        <v>4</v>
      </c>
      <c r="H95" s="67" t="n">
        <v>1</v>
      </c>
      <c r="I95" s="67" t="n">
        <v>2</v>
      </c>
      <c r="J95" s="67" t="n">
        <v>3</v>
      </c>
      <c r="K95" s="67" t="n">
        <v>4</v>
      </c>
      <c r="L95" s="69">
        <f>ROUND($B$3*G95+$B$4*H95+$B$5*I95+$B$6*J95+$B$7*K95+IF(F95&lt;=1,$B$8,0),2)</f>
        <v/>
      </c>
      <c r="M95" s="67">
        <f>IF(L95&gt;=4.3,"🥇 Top",IF(L95&gt;=3.8,"🥈 Fuerte",IF(L95&gt;=3.3,"🥉 Considerar","—")))</f>
        <v/>
      </c>
      <c r="N95" s="67" t="inlineStr">
        <is>
          <t>Dept Scholarship £5,000</t>
        </is>
      </c>
    </row>
    <row r="96" ht="23.25" customHeight="1" s="47">
      <c r="A96" s="67" t="n">
        <v>85</v>
      </c>
      <c r="B96" s="68" t="inlineStr">
        <is>
          <t>Durham</t>
        </is>
      </c>
      <c r="C96" s="67" t="inlineStr">
        <is>
          <t>MSc Economics</t>
        </is>
      </c>
      <c r="D96" s="67" t="inlineStr">
        <is>
          <t>UK</t>
        </is>
      </c>
      <c r="E96" s="67" t="inlineStr">
        <is>
          <t>Inova</t>
        </is>
      </c>
      <c r="F96" s="67" t="n">
        <v>1</v>
      </c>
      <c r="G96" s="67" t="n">
        <v>4</v>
      </c>
      <c r="H96" s="67" t="n">
        <v>1</v>
      </c>
      <c r="I96" s="67" t="n">
        <v>2</v>
      </c>
      <c r="J96" s="67" t="n">
        <v>3</v>
      </c>
      <c r="K96" s="67" t="n">
        <v>4</v>
      </c>
      <c r="L96" s="69">
        <f>ROUND($B$3*G96+$B$4*H96+$B$5*I96+$B$6*J96+$B$7*K96+IF(F96&lt;=1,$B$8,0),2)</f>
        <v/>
      </c>
      <c r="M96" s="67">
        <f>IF(L96&gt;=4.3,"🥇 Top",IF(L96&gt;=3.8,"🥈 Fuerte",IF(L96&gt;=3.3,"🥉 Considerar","—")))</f>
        <v/>
      </c>
      <c r="N96" s="67" t="inlineStr">
        <is>
          <t>Durham Business School Masters Scholarship ~£10,000 (31/07/2026)</t>
        </is>
      </c>
    </row>
    <row r="97" ht="15" customHeight="1" s="47">
      <c r="A97" s="67" t="n">
        <v>86</v>
      </c>
      <c r="B97" s="68" t="inlineStr">
        <is>
          <t>Exeter</t>
        </is>
      </c>
      <c r="C97" s="67" t="inlineStr">
        <is>
          <t>MSc Financial Economics</t>
        </is>
      </c>
      <c r="D97" s="67" t="inlineStr">
        <is>
          <t>UK</t>
        </is>
      </c>
      <c r="E97" s="67" t="inlineStr">
        <is>
          <t>Inova</t>
        </is>
      </c>
      <c r="F97" s="67" t="n">
        <v>1</v>
      </c>
      <c r="G97" s="67" t="n">
        <v>4</v>
      </c>
      <c r="H97" s="67" t="n">
        <v>1</v>
      </c>
      <c r="I97" s="67" t="n">
        <v>2</v>
      </c>
      <c r="J97" s="67" t="n">
        <v>3</v>
      </c>
      <c r="K97" s="67" t="n">
        <v>4</v>
      </c>
      <c r="L97" s="69">
        <f>ROUND($B$3*G97+$B$4*H97+$B$5*I97+$B$6*J97+$B$7*K97+IF(F97&lt;=1,$B$8,0),2)</f>
        <v/>
      </c>
      <c r="M97" s="67">
        <f>IF(L97&gt;=4.3,"🥇 Top",IF(L97&gt;=3.8,"🥈 Fuerte",IF(L97&gt;=3.3,"🥉 Considerar","—")))</f>
        <v/>
      </c>
      <c r="N97" s="67" t="inlineStr">
        <is>
          <t>Global Excellence desde £5,000 (£7M fondo total)</t>
        </is>
      </c>
    </row>
    <row r="98" ht="15" customHeight="1" s="47">
      <c r="A98" s="67" t="n">
        <v>87</v>
      </c>
      <c r="B98" s="68" t="inlineStr">
        <is>
          <t>Trinity College Dublin</t>
        </is>
      </c>
      <c r="C98" s="67" t="inlineStr">
        <is>
          <t>MSc Economics</t>
        </is>
      </c>
      <c r="D98" s="67" t="inlineStr">
        <is>
          <t>🇮🇪</t>
        </is>
      </c>
      <c r="E98" s="67" t="inlineStr">
        <is>
          <t>Directa</t>
        </is>
      </c>
      <c r="F98" s="67" t="n">
        <v>1</v>
      </c>
      <c r="G98" s="67" t="n">
        <v>3</v>
      </c>
      <c r="H98" s="67" t="n">
        <v>2</v>
      </c>
      <c r="I98" s="67" t="n">
        <v>2</v>
      </c>
      <c r="J98" s="67" t="n">
        <v>3</v>
      </c>
      <c r="K98" s="67" t="n">
        <v>4</v>
      </c>
      <c r="L98" s="69">
        <f>ROUND($B$3*G98+$B$4*H98+$B$5*I98+$B$6*J98+$B$7*K98+IF(F98&lt;=1,$B$8,0),2)</f>
        <v/>
      </c>
      <c r="M98" s="67">
        <f>IF(L98&gt;=4.3,"🥇 Top",IF(L98&gt;=3.8,"🥈 Fuerte",IF(L98&gt;=3.3,"🥉 Considerar","—")))</f>
        <v/>
      </c>
      <c r="N98" s="67" t="inlineStr">
        <is>
          <t>Trinity/Provost (limitadas)</t>
        </is>
      </c>
    </row>
    <row r="99" ht="15" customHeight="1" s="47">
      <c r="A99" s="67" t="n">
        <v>88</v>
      </c>
      <c r="B99" s="68" t="inlineStr">
        <is>
          <t>Sussex</t>
        </is>
      </c>
      <c r="C99" s="67" t="inlineStr">
        <is>
          <t>MSc Economics</t>
        </is>
      </c>
      <c r="D99" s="67" t="inlineStr">
        <is>
          <t>UK</t>
        </is>
      </c>
      <c r="E99" s="67" t="inlineStr">
        <is>
          <t>Inova</t>
        </is>
      </c>
      <c r="F99" s="67" t="n">
        <v>1</v>
      </c>
      <c r="G99" s="67" t="n">
        <v>3</v>
      </c>
      <c r="H99" s="67" t="n">
        <v>1</v>
      </c>
      <c r="I99" s="67" t="n">
        <v>3</v>
      </c>
      <c r="J99" s="67" t="n">
        <v>3</v>
      </c>
      <c r="K99" s="67" t="n">
        <v>4</v>
      </c>
      <c r="L99" s="69">
        <f>ROUND($B$3*G99+$B$4*H99+$B$5*I99+$B$6*J99+$B$7*K99+IF(F99&lt;=1,$B$8,0),2)</f>
        <v/>
      </c>
      <c r="M99" s="67">
        <f>IF(L99&gt;=4.3,"🥇 Top",IF(L99&gt;=3.8,"🥈 Fuerte",IF(L99&gt;=3.3,"🥉 Considerar","—")))</f>
        <v/>
      </c>
      <c r="N99" s="67" t="inlineStr">
        <is>
          <t>BBS automatic £2,000 + Chancellor's £5,000</t>
        </is>
      </c>
    </row>
    <row r="100" ht="23.25" customHeight="1" s="47">
      <c r="A100" s="67" t="n">
        <v>89</v>
      </c>
      <c r="B100" s="68" t="inlineStr">
        <is>
          <t>Bath</t>
        </is>
      </c>
      <c r="C100" s="67" t="inlineStr">
        <is>
          <t>MSc Economics</t>
        </is>
      </c>
      <c r="D100" s="67" t="inlineStr">
        <is>
          <t>UK</t>
        </is>
      </c>
      <c r="E100" s="67" t="inlineStr">
        <is>
          <t>Inova</t>
        </is>
      </c>
      <c r="F100" s="67" t="n">
        <v>1</v>
      </c>
      <c r="G100" s="67" t="n">
        <v>3</v>
      </c>
      <c r="H100" s="67" t="n">
        <v>1</v>
      </c>
      <c r="I100" s="67" t="n">
        <v>3</v>
      </c>
      <c r="J100" s="67" t="n">
        <v>3</v>
      </c>
      <c r="K100" s="67" t="n">
        <v>4</v>
      </c>
      <c r="L100" s="69">
        <f>ROUND($B$3*G100+$B$4*H100+$B$5*I100+$B$6*J100+$B$7*K100+IF(F100&lt;=1,$B$8,0),2)</f>
        <v/>
      </c>
      <c r="M100" s="67">
        <f>IF(L100&gt;=4.3,"🥇 Top",IF(L100&gt;=3.8,"🥈 Fuerte",IF(L100&gt;=3.3,"🥉 Considerar","—")))</f>
        <v/>
      </c>
      <c r="N100" s="67" t="inlineStr">
        <is>
          <t>Bath Global Excellence £10,000 + Merit Award £5,000</t>
        </is>
      </c>
    </row>
    <row r="101" ht="23.25" customHeight="1" s="47">
      <c r="A101" s="67" t="n">
        <v>90</v>
      </c>
      <c r="B101" s="68" t="inlineStr">
        <is>
          <t>Newcastle UK</t>
        </is>
      </c>
      <c r="C101" s="67" t="inlineStr">
        <is>
          <t>MSc Economics</t>
        </is>
      </c>
      <c r="D101" s="67" t="inlineStr">
        <is>
          <t>UK</t>
        </is>
      </c>
      <c r="E101" s="67" t="inlineStr">
        <is>
          <t>Inova</t>
        </is>
      </c>
      <c r="F101" s="67" t="n">
        <v>1</v>
      </c>
      <c r="G101" s="67" t="n">
        <v>3</v>
      </c>
      <c r="H101" s="67" t="n">
        <v>1</v>
      </c>
      <c r="I101" s="67" t="n">
        <v>3</v>
      </c>
      <c r="J101" s="67" t="n">
        <v>3</v>
      </c>
      <c r="K101" s="67" t="n">
        <v>4</v>
      </c>
      <c r="L101" s="69">
        <f>ROUND($B$3*G101+$B$4*H101+$B$5*I101+$B$6*J101+$B$7*K101+IF(F101&lt;=1,$B$8,0),2)</f>
        <v/>
      </c>
      <c r="M101" s="67">
        <f>IF(L101&gt;=4.3,"🥇 Top",IF(L101&gt;=3.8,"🥈 Fuerte",IF(L101&gt;=3.3,"🥉 Considerar","—")))</f>
        <v/>
      </c>
      <c r="N101" s="67" t="inlineStr">
        <is>
          <t>Vice-Chancellor's Excellence Scholarship (VCES) hasta 50% tuition + EU</t>
        </is>
      </c>
    </row>
    <row r="102" ht="23.25" customHeight="1" s="47">
      <c r="A102" s="67" t="n">
        <v>91</v>
      </c>
      <c r="B102" s="68" t="inlineStr">
        <is>
          <t>Newcastle UK</t>
        </is>
      </c>
      <c r="C102" s="67" t="inlineStr">
        <is>
          <t>MSc Behavioural &amp; Experimental Economics</t>
        </is>
      </c>
      <c r="D102" s="67" t="inlineStr">
        <is>
          <t>UK</t>
        </is>
      </c>
      <c r="E102" s="67" t="inlineStr">
        <is>
          <t>Inova</t>
        </is>
      </c>
      <c r="F102" s="67" t="n">
        <v>1</v>
      </c>
      <c r="G102" s="67" t="n">
        <v>3</v>
      </c>
      <c r="H102" s="67" t="n">
        <v>1</v>
      </c>
      <c r="I102" s="67" t="n">
        <v>3</v>
      </c>
      <c r="J102" s="67" t="n">
        <v>3</v>
      </c>
      <c r="K102" s="67" t="n">
        <v>4</v>
      </c>
      <c r="L102" s="69">
        <f>ROUND($B$3*G102+$B$4*H102+$B$5*I102+$B$6*J102+$B$7*K102+IF(F102&lt;=1,$B$8,0),2)</f>
        <v/>
      </c>
      <c r="M102" s="67">
        <f>IF(L102&gt;=4.3,"🥇 Top",IF(L102&gt;=3.8,"🥈 Fuerte",IF(L102&gt;=3.3,"🥉 Considerar","—")))</f>
        <v/>
      </c>
      <c r="N102" s="67" t="inlineStr">
        <is>
          <t>VCES hasta 50%</t>
        </is>
      </c>
    </row>
    <row r="103" ht="23.25" customHeight="1" s="47">
      <c r="A103" s="67" t="n">
        <v>92</v>
      </c>
      <c r="B103" s="68" t="inlineStr">
        <is>
          <t>Southampton</t>
        </is>
      </c>
      <c r="C103" s="67" t="inlineStr">
        <is>
          <t>MSc Economics</t>
        </is>
      </c>
      <c r="D103" s="67" t="inlineStr">
        <is>
          <t>UK</t>
        </is>
      </c>
      <c r="E103" s="67" t="inlineStr">
        <is>
          <t>Inova</t>
        </is>
      </c>
      <c r="F103" s="67" t="n">
        <v>1</v>
      </c>
      <c r="G103" s="67" t="n">
        <v>3</v>
      </c>
      <c r="H103" s="67" t="n">
        <v>1</v>
      </c>
      <c r="I103" s="67" t="n">
        <v>3</v>
      </c>
      <c r="J103" s="67" t="n">
        <v>3</v>
      </c>
      <c r="K103" s="67" t="n">
        <v>4</v>
      </c>
      <c r="L103" s="69">
        <f>ROUND($B$3*G103+$B$4*H103+$B$5*I103+$B$6*J103+$B$7*K103+IF(F103&lt;=1,$B$8,0),2)</f>
        <v/>
      </c>
      <c r="M103" s="67">
        <f>IF(L103&gt;=4.3,"🥇 Top",IF(L103&gt;=3.8,"🥈 Fuerte",IF(L103&gt;=3.3,"🥉 Considerar","—")))</f>
        <v/>
      </c>
      <c r="N103" s="67" t="inlineStr">
        <is>
          <t>Presidential Intl Scholarship: 10×100% fee + 15×£10,000 (deadline 22/0</t>
        </is>
      </c>
    </row>
    <row r="104" ht="23.25" customHeight="1" s="47">
      <c r="A104" s="67" t="n">
        <v>93</v>
      </c>
      <c r="B104" s="68" t="inlineStr">
        <is>
          <t>Cardiff</t>
        </is>
      </c>
      <c r="C104" s="67" t="inlineStr">
        <is>
          <t>MSc Intl Economics, Banking &amp; Finance</t>
        </is>
      </c>
      <c r="D104" s="67" t="inlineStr">
        <is>
          <t>UK</t>
        </is>
      </c>
      <c r="E104" s="67" t="inlineStr">
        <is>
          <t>Inova</t>
        </is>
      </c>
      <c r="F104" s="67" t="n">
        <v>1</v>
      </c>
      <c r="G104" s="67" t="n">
        <v>4</v>
      </c>
      <c r="H104" s="67" t="n">
        <v>1</v>
      </c>
      <c r="I104" s="67" t="n">
        <v>2</v>
      </c>
      <c r="J104" s="67" t="n">
        <v>2</v>
      </c>
      <c r="K104" s="67" t="n">
        <v>5</v>
      </c>
      <c r="L104" s="69">
        <f>ROUND($B$3*G104+$B$4*H104+$B$5*I104+$B$6*J104+$B$7*K104+IF(F104&lt;=1,$B$8,0),2)</f>
        <v/>
      </c>
      <c r="M104" s="67">
        <f>IF(L104&gt;=4.3,"🥇 Top",IF(L104&gt;=3.8,"🥈 Fuerte",IF(L104&gt;=3.3,"🥉 Considerar","—")))</f>
        <v/>
      </c>
      <c r="N104" s="67" t="inlineStr">
        <is>
          <t>BBS scholarships</t>
        </is>
      </c>
    </row>
    <row r="105" ht="15" customHeight="1" s="47">
      <c r="A105" s="67" t="n">
        <v>94</v>
      </c>
      <c r="B105" s="68" t="inlineStr">
        <is>
          <t>Strathclyde</t>
        </is>
      </c>
      <c r="C105" s="67" t="inlineStr">
        <is>
          <t>MSc Economics &amp; Finance</t>
        </is>
      </c>
      <c r="D105" s="67" t="inlineStr">
        <is>
          <t>UK</t>
        </is>
      </c>
      <c r="E105" s="67" t="inlineStr">
        <is>
          <t>Inova</t>
        </is>
      </c>
      <c r="F105" s="67" t="n">
        <v>1</v>
      </c>
      <c r="G105" s="67" t="n">
        <v>4</v>
      </c>
      <c r="H105" s="67" t="n">
        <v>1</v>
      </c>
      <c r="I105" s="67" t="n">
        <v>2</v>
      </c>
      <c r="J105" s="67" t="n">
        <v>2</v>
      </c>
      <c r="K105" s="67" t="n">
        <v>5</v>
      </c>
      <c r="L105" s="69">
        <f>ROUND($B$3*G105+$B$4*H105+$B$5*I105+$B$6*J105+$B$7*K105+IF(F105&lt;=1,$B$8,0),2)</f>
        <v/>
      </c>
      <c r="M105" s="67">
        <f>IF(L105&gt;=4.3,"🥇 Top",IF(L105&gt;=3.8,"🥈 Fuerte",IF(L105&gt;=3.3,"🥉 Considerar","—")))</f>
        <v/>
      </c>
      <c r="N105" s="67" t="inlineStr">
        <is>
          <t>Strathclyde Business School Dean's Awards</t>
        </is>
      </c>
    </row>
    <row r="106" ht="15" customHeight="1" s="47">
      <c r="A106" s="67" t="n">
        <v>95</v>
      </c>
      <c r="B106" s="68" t="inlineStr">
        <is>
          <t>Liverpool</t>
        </is>
      </c>
      <c r="C106" s="67" t="inlineStr">
        <is>
          <t>MSc Money, Banking &amp; Finance</t>
        </is>
      </c>
      <c r="D106" s="67" t="inlineStr">
        <is>
          <t>UK</t>
        </is>
      </c>
      <c r="E106" s="67" t="inlineStr">
        <is>
          <t>Inova</t>
        </is>
      </c>
      <c r="F106" s="67" t="n">
        <v>1</v>
      </c>
      <c r="G106" s="67" t="n">
        <v>4</v>
      </c>
      <c r="H106" s="67" t="n">
        <v>1</v>
      </c>
      <c r="I106" s="67" t="n">
        <v>2</v>
      </c>
      <c r="J106" s="67" t="n">
        <v>2</v>
      </c>
      <c r="K106" s="67" t="n">
        <v>5</v>
      </c>
      <c r="L106" s="69">
        <f>ROUND($B$3*G106+$B$4*H106+$B$5*I106+$B$6*J106+$B$7*K106+IF(F106&lt;=1,$B$8,0),2)</f>
        <v/>
      </c>
      <c r="M106" s="67">
        <f>IF(L106&gt;=4.3,"🥇 Top",IF(L106&gt;=3.8,"🥈 Fuerte",IF(L106&gt;=3.3,"🥉 Considerar","—")))</f>
        <v/>
      </c>
      <c r="N106" s="67" t="inlineStr">
        <is>
          <t>Liverpool Int'l Excellence Scholarships</t>
        </is>
      </c>
    </row>
    <row r="107" ht="23.25" customHeight="1" s="47">
      <c r="A107" s="67" t="n">
        <v>96</v>
      </c>
      <c r="B107" s="68" t="inlineStr">
        <is>
          <t>Warwick (WBS)</t>
        </is>
      </c>
      <c r="C107" s="67" t="inlineStr">
        <is>
          <t>MSc Finance &amp; Economics (Business School)</t>
        </is>
      </c>
      <c r="D107" s="67" t="inlineStr">
        <is>
          <t>UK</t>
        </is>
      </c>
      <c r="E107" s="67" t="inlineStr">
        <is>
          <t>Inova</t>
        </is>
      </c>
      <c r="F107" s="67" t="n">
        <v>1</v>
      </c>
      <c r="G107" s="67" t="n">
        <v>3</v>
      </c>
      <c r="H107" s="67" t="n">
        <v>1</v>
      </c>
      <c r="I107" s="67" t="n">
        <v>2</v>
      </c>
      <c r="J107" s="67" t="n">
        <v>4</v>
      </c>
      <c r="K107" s="67" t="n">
        <v>3</v>
      </c>
      <c r="L107" s="69">
        <f>ROUND($B$3*G107+$B$4*H107+$B$5*I107+$B$6*J107+$B$7*K107+IF(F107&lt;=1,$B$8,0),2)</f>
        <v/>
      </c>
      <c r="M107" s="67">
        <f>IF(L107&gt;=4.3,"🥇 Top",IF(L107&gt;=3.8,"🥈 Fuerte",IF(L107&gt;=3.3,"🥉 Considerar","—")))</f>
        <v/>
      </c>
      <c r="N107" s="67" t="inlineStr">
        <is>
          <t>WBS scholarships 50–100% (competitivas)</t>
        </is>
      </c>
    </row>
    <row r="108" ht="15" customHeight="1" s="47">
      <c r="A108" s="67" t="n">
        <v>97</v>
      </c>
      <c r="B108" s="68" t="inlineStr">
        <is>
          <t>York</t>
        </is>
      </c>
      <c r="C108" s="67" t="inlineStr">
        <is>
          <t>MSc Economics</t>
        </is>
      </c>
      <c r="D108" s="67" t="inlineStr">
        <is>
          <t>UK</t>
        </is>
      </c>
      <c r="E108" s="67" t="inlineStr">
        <is>
          <t>Inova</t>
        </is>
      </c>
      <c r="F108" s="67" t="n">
        <v>1</v>
      </c>
      <c r="G108" s="67" t="n">
        <v>3</v>
      </c>
      <c r="H108" s="67" t="n">
        <v>1</v>
      </c>
      <c r="I108" s="67" t="n">
        <v>2</v>
      </c>
      <c r="J108" s="67" t="n">
        <v>3</v>
      </c>
      <c r="K108" s="67" t="n">
        <v>4</v>
      </c>
      <c r="L108" s="69">
        <f>ROUND($B$3*G108+$B$4*H108+$B$5*I108+$B$6*J108+$B$7*K108+IF(F108&lt;=1,$B$8,0),2)</f>
        <v/>
      </c>
      <c r="M108" s="67">
        <f>IF(L108&gt;=4.3,"🥇 Top",IF(L108&gt;=3.8,"🥈 Fuerte",IF(L108&gt;=3.3,"🥉 Considerar","—")))</f>
        <v/>
      </c>
      <c r="N108" s="67" t="inlineStr">
        <is>
          <t>Merit Scholarships (consultar)</t>
        </is>
      </c>
    </row>
    <row r="109" ht="23.25" customHeight="1" s="47">
      <c r="A109" s="67" t="n">
        <v>98</v>
      </c>
      <c r="B109" s="68" t="inlineStr">
        <is>
          <t>Essex</t>
        </is>
      </c>
      <c r="C109" s="67" t="inlineStr">
        <is>
          <t>MSc Economics</t>
        </is>
      </c>
      <c r="D109" s="67" t="inlineStr">
        <is>
          <t>UK</t>
        </is>
      </c>
      <c r="E109" s="67" t="inlineStr">
        <is>
          <t>Inova</t>
        </is>
      </c>
      <c r="F109" s="67" t="n">
        <v>1</v>
      </c>
      <c r="G109" s="67" t="n">
        <v>3</v>
      </c>
      <c r="H109" s="67" t="n">
        <v>1</v>
      </c>
      <c r="I109" s="67" t="n">
        <v>2</v>
      </c>
      <c r="J109" s="67" t="n">
        <v>3</v>
      </c>
      <c r="K109" s="67" t="n">
        <v>4</v>
      </c>
      <c r="L109" s="69">
        <f>ROUND($B$3*G109+$B$4*H109+$B$5*I109+$B$6*J109+$B$7*K109+IF(F109&lt;=1,$B$8,0),2)</f>
        <v/>
      </c>
      <c r="M109" s="67">
        <f>IF(L109&gt;=4.3,"🥇 Top",IF(L109&gt;=3.8,"🥈 Fuerte",IF(L109&gt;=3.3,"🥉 Considerar","—")))</f>
        <v/>
      </c>
      <c r="N109" s="67" t="inlineStr">
        <is>
          <t>Dept Scholarship £5,000 + Latin American Scholarship £4,000-£5,000</t>
        </is>
      </c>
    </row>
    <row r="110" ht="15" customHeight="1" s="47">
      <c r="A110" s="67" t="n">
        <v>99</v>
      </c>
      <c r="B110" s="68" t="inlineStr">
        <is>
          <t>Sheffield</t>
        </is>
      </c>
      <c r="C110" s="67" t="inlineStr">
        <is>
          <t>MSc Economics</t>
        </is>
      </c>
      <c r="D110" s="67" t="inlineStr">
        <is>
          <t>UK</t>
        </is>
      </c>
      <c r="E110" s="67" t="inlineStr">
        <is>
          <t>Inova</t>
        </is>
      </c>
      <c r="F110" s="67" t="n">
        <v>1</v>
      </c>
      <c r="G110" s="67" t="n">
        <v>3</v>
      </c>
      <c r="H110" s="67" t="n">
        <v>1</v>
      </c>
      <c r="I110" s="67" t="n">
        <v>2</v>
      </c>
      <c r="J110" s="67" t="n">
        <v>3</v>
      </c>
      <c r="K110" s="67" t="n">
        <v>4</v>
      </c>
      <c r="L110" s="69">
        <f>ROUND($B$3*G110+$B$4*H110+$B$5*I110+$B$6*J110+$B$7*K110+IF(F110&lt;=1,$B$8,0),2)</f>
        <v/>
      </c>
      <c r="M110" s="67">
        <f>IF(L110&gt;=4.3,"🥇 Top",IF(L110&gt;=3.8,"🥈 Fuerte",IF(L110&gt;=3.3,"🥉 Considerar","—")))</f>
        <v/>
      </c>
      <c r="N110" s="67" t="inlineStr">
        <is>
          <t>International PGT Scholarship £3,000 AUTOMÁTICO</t>
        </is>
      </c>
    </row>
    <row r="111" ht="15" customHeight="1" s="47">
      <c r="A111" s="67" t="n">
        <v>100</v>
      </c>
      <c r="B111" s="68" t="inlineStr">
        <is>
          <t>Exeter</t>
        </is>
      </c>
      <c r="C111" s="67" t="inlineStr">
        <is>
          <t>MSc Economics</t>
        </is>
      </c>
      <c r="D111" s="67" t="inlineStr">
        <is>
          <t>UK</t>
        </is>
      </c>
      <c r="E111" s="67" t="inlineStr">
        <is>
          <t>Inova</t>
        </is>
      </c>
      <c r="F111" s="67" t="n">
        <v>1</v>
      </c>
      <c r="G111" s="67" t="n">
        <v>3</v>
      </c>
      <c r="H111" s="67" t="n">
        <v>1</v>
      </c>
      <c r="I111" s="67" t="n">
        <v>2</v>
      </c>
      <c r="J111" s="67" t="n">
        <v>3</v>
      </c>
      <c r="K111" s="67" t="n">
        <v>4</v>
      </c>
      <c r="L111" s="69">
        <f>ROUND($B$3*G111+$B$4*H111+$B$5*I111+$B$6*J111+$B$7*K111+IF(F111&lt;=1,$B$8,0),2)</f>
        <v/>
      </c>
      <c r="M111" s="67">
        <f>IF(L111&gt;=4.3,"🥇 Top",IF(L111&gt;=3.8,"🥈 Fuerte",IF(L111&gt;=3.3,"🥉 Considerar","—")))</f>
        <v/>
      </c>
      <c r="N111" s="67" t="inlineStr">
        <is>
          <t>Global Excellence £5,000+</t>
        </is>
      </c>
    </row>
    <row r="112" ht="23.25" customHeight="1" s="47">
      <c r="A112" s="67" t="n">
        <v>101</v>
      </c>
      <c r="B112" s="68" t="inlineStr">
        <is>
          <t>Southampton</t>
        </is>
      </c>
      <c r="C112" s="67" t="inlineStr">
        <is>
          <t>MRes Economics (research preparación PhD)</t>
        </is>
      </c>
      <c r="D112" s="67" t="inlineStr">
        <is>
          <t>UK</t>
        </is>
      </c>
      <c r="E112" s="67" t="inlineStr">
        <is>
          <t>Inova</t>
        </is>
      </c>
      <c r="F112" s="67" t="n">
        <v>2</v>
      </c>
      <c r="G112" s="67" t="n">
        <v>3</v>
      </c>
      <c r="H112" s="67" t="n">
        <v>1</v>
      </c>
      <c r="I112" s="67" t="n">
        <v>3</v>
      </c>
      <c r="J112" s="67" t="n">
        <v>3</v>
      </c>
      <c r="K112" s="67" t="n">
        <v>4</v>
      </c>
      <c r="L112" s="69">
        <f>ROUND($B$3*G112+$B$4*H112+$B$5*I112+$B$6*J112+$B$7*K112+IF(F112&lt;=1,$B$8,0),2)</f>
        <v/>
      </c>
      <c r="M112" s="67">
        <f>IF(L112&gt;=4.3,"🥇 Top",IF(L112&gt;=3.8,"🥈 Fuerte",IF(L112&gt;=3.3,"🥉 Considerar","—")))</f>
        <v/>
      </c>
      <c r="N112" s="67" t="inlineStr">
        <is>
          <t>Presidential Intl 100% fee + ESRC NINE DTP</t>
        </is>
      </c>
    </row>
    <row r="113" ht="23.25" customHeight="1" s="47">
      <c r="A113" s="67" t="n">
        <v>102</v>
      </c>
      <c r="B113" s="68" t="inlineStr">
        <is>
          <t>Aberdeen</t>
        </is>
      </c>
      <c r="C113" s="67" t="inlineStr">
        <is>
          <t>MSc Finance &amp; Investment Management</t>
        </is>
      </c>
      <c r="D113" s="67" t="inlineStr">
        <is>
          <t>UK</t>
        </is>
      </c>
      <c r="E113" s="67" t="inlineStr">
        <is>
          <t>Inova</t>
        </is>
      </c>
      <c r="F113" s="67" t="n">
        <v>1</v>
      </c>
      <c r="G113" s="67" t="n">
        <v>3</v>
      </c>
      <c r="H113" s="67" t="n">
        <v>1</v>
      </c>
      <c r="I113" s="67" t="n">
        <v>2</v>
      </c>
      <c r="J113" s="67" t="n">
        <v>2</v>
      </c>
      <c r="K113" s="67" t="n">
        <v>5</v>
      </c>
      <c r="L113" s="69">
        <f>ROUND($B$3*G113+$B$4*H113+$B$5*I113+$B$6*J113+$B$7*K113+IF(F113&lt;=1,$B$8,0),2)</f>
        <v/>
      </c>
      <c r="M113" s="67">
        <f>IF(L113&gt;=4.3,"🥇 Top",IF(L113&gt;=3.8,"🥈 Fuerte",IF(L113&gt;=3.3,"🥉 Considerar","—")))</f>
        <v/>
      </c>
      <c r="N113" s="67" t="inlineStr">
        <is>
          <t>Aberdeen Int'l Masters scholarships (consultar)</t>
        </is>
      </c>
    </row>
    <row r="114" ht="15" customHeight="1" s="47">
      <c r="A114" s="67" t="n">
        <v>103</v>
      </c>
      <c r="B114" s="68" t="inlineStr">
        <is>
          <t>East Anglia (UEA)</t>
        </is>
      </c>
      <c r="C114" s="67" t="inlineStr">
        <is>
          <t>MSc Economics</t>
        </is>
      </c>
      <c r="D114" s="67" t="inlineStr">
        <is>
          <t>UK</t>
        </is>
      </c>
      <c r="E114" s="67" t="inlineStr">
        <is>
          <t>Inova</t>
        </is>
      </c>
      <c r="F114" s="67" t="n">
        <v>1</v>
      </c>
      <c r="G114" s="67" t="n">
        <v>2</v>
      </c>
      <c r="H114" s="67" t="n">
        <v>1</v>
      </c>
      <c r="I114" s="67" t="n">
        <v>2</v>
      </c>
      <c r="J114" s="67" t="n">
        <v>2</v>
      </c>
      <c r="K114" s="67" t="n">
        <v>5</v>
      </c>
      <c r="L114" s="69">
        <f>ROUND($B$3*G114+$B$4*H114+$B$5*I114+$B$6*J114+$B$7*K114+IF(F114&lt;=1,$B$8,0),2)</f>
        <v/>
      </c>
      <c r="M114" s="67">
        <f>IF(L114&gt;=4.3,"🥇 Top",IF(L114&gt;=3.8,"🥈 Fuerte",IF(L114&gt;=3.3,"🥉 Considerar","—")))</f>
        <v/>
      </c>
      <c r="N114" s="67" t="inlineStr">
        <is>
          <t>UEA International Scholarships (varias)</t>
        </is>
      </c>
    </row>
    <row r="115" ht="15" customHeight="1" s="47">
      <c r="A115" s="67" t="n">
        <v>104</v>
      </c>
      <c r="B115" s="68" t="inlineStr">
        <is>
          <t>Cardiff</t>
        </is>
      </c>
      <c r="C115" s="67" t="inlineStr">
        <is>
          <t>MSc Economics</t>
        </is>
      </c>
      <c r="D115" s="67" t="inlineStr">
        <is>
          <t>UK</t>
        </is>
      </c>
      <c r="E115" s="67" t="inlineStr">
        <is>
          <t>Inova</t>
        </is>
      </c>
      <c r="F115" s="67" t="n">
        <v>1</v>
      </c>
      <c r="G115" s="67" t="n">
        <v>2</v>
      </c>
      <c r="H115" s="67" t="n">
        <v>1</v>
      </c>
      <c r="I115" s="67" t="n">
        <v>2</v>
      </c>
      <c r="J115" s="67" t="n">
        <v>2</v>
      </c>
      <c r="K115" s="67" t="n">
        <v>5</v>
      </c>
      <c r="L115" s="69">
        <f>ROUND($B$3*G115+$B$4*H115+$B$5*I115+$B$6*J115+$B$7*K115+IF(F115&lt;=1,$B$8,0),2)</f>
        <v/>
      </c>
      <c r="M115" s="67">
        <f>IF(L115&gt;=4.3,"🥇 Top",IF(L115&gt;=3.8,"🥈 Fuerte",IF(L115&gt;=3.3,"🥉 Considerar","—")))</f>
        <v/>
      </c>
      <c r="N115" s="67" t="inlineStr">
        <is>
          <t>Cardiff Business School scholarships</t>
        </is>
      </c>
    </row>
    <row r="116" ht="15" customHeight="1" s="47">
      <c r="A116" s="67" t="n">
        <v>105</v>
      </c>
      <c r="B116" s="68" t="inlineStr">
        <is>
          <t>Royal Holloway</t>
        </is>
      </c>
      <c r="C116" s="67" t="inlineStr">
        <is>
          <t>MSc Economics</t>
        </is>
      </c>
      <c r="D116" s="67" t="inlineStr">
        <is>
          <t>UK</t>
        </is>
      </c>
      <c r="E116" s="67" t="inlineStr">
        <is>
          <t>Inova</t>
        </is>
      </c>
      <c r="F116" s="67" t="n">
        <v>1</v>
      </c>
      <c r="G116" s="67" t="n">
        <v>2</v>
      </c>
      <c r="H116" s="67" t="n">
        <v>1</v>
      </c>
      <c r="I116" s="67" t="n">
        <v>2</v>
      </c>
      <c r="J116" s="67" t="n">
        <v>2</v>
      </c>
      <c r="K116" s="67" t="n">
        <v>5</v>
      </c>
      <c r="L116" s="69">
        <f>ROUND($B$3*G116+$B$4*H116+$B$5*I116+$B$6*J116+$B$7*K116+IF(F116&lt;=1,$B$8,0),2)</f>
        <v/>
      </c>
      <c r="M116" s="67">
        <f>IF(L116&gt;=4.3,"🥇 Top",IF(L116&gt;=3.8,"🥈 Fuerte",IF(L116&gt;=3.3,"🥉 Considerar","—")))</f>
        <v/>
      </c>
      <c r="N116" s="67" t="inlineStr">
        <is>
          <t>Founders Scholarships (consultar web)</t>
        </is>
      </c>
    </row>
    <row r="117" ht="15" customHeight="1" s="47">
      <c r="A117" s="67" t="n">
        <v>106</v>
      </c>
      <c r="B117" s="68" t="inlineStr">
        <is>
          <t>Heriot-Watt</t>
        </is>
      </c>
      <c r="C117" s="67" t="inlineStr">
        <is>
          <t>MSc Economics</t>
        </is>
      </c>
      <c r="D117" s="67" t="inlineStr">
        <is>
          <t>UK</t>
        </is>
      </c>
      <c r="E117" s="67" t="inlineStr">
        <is>
          <t>Inova</t>
        </is>
      </c>
      <c r="F117" s="67" t="n">
        <v>1</v>
      </c>
      <c r="G117" s="67" t="n">
        <v>2</v>
      </c>
      <c r="H117" s="67" t="n">
        <v>1</v>
      </c>
      <c r="I117" s="67" t="n">
        <v>2</v>
      </c>
      <c r="J117" s="67" t="n">
        <v>2</v>
      </c>
      <c r="K117" s="67" t="n">
        <v>5</v>
      </c>
      <c r="L117" s="69">
        <f>ROUND($B$3*G117+$B$4*H117+$B$5*I117+$B$6*J117+$B$7*K117+IF(F117&lt;=1,$B$8,0),2)</f>
        <v/>
      </c>
      <c r="M117" s="67">
        <f>IF(L117&gt;=4.3,"🥇 Top",IF(L117&gt;=3.8,"🥈 Fuerte",IF(L117&gt;=3.3,"🥉 Considerar","—")))</f>
        <v/>
      </c>
      <c r="N117" s="67" t="inlineStr">
        <is>
          <t>Heriot-Watt Int'l Scholarship £2,500</t>
        </is>
      </c>
    </row>
    <row r="118" ht="15" customHeight="1" s="47">
      <c r="A118" s="67" t="n">
        <v>107</v>
      </c>
      <c r="B118" s="68" t="inlineStr">
        <is>
          <t>Stirling</t>
        </is>
      </c>
      <c r="C118" s="67" t="inlineStr">
        <is>
          <t>MSc Economics</t>
        </is>
      </c>
      <c r="D118" s="67" t="inlineStr">
        <is>
          <t>UK</t>
        </is>
      </c>
      <c r="E118" s="67" t="inlineStr">
        <is>
          <t>Inova</t>
        </is>
      </c>
      <c r="F118" s="67" t="n">
        <v>1</v>
      </c>
      <c r="G118" s="67" t="n">
        <v>2</v>
      </c>
      <c r="H118" s="67" t="n">
        <v>1</v>
      </c>
      <c r="I118" s="67" t="n">
        <v>2</v>
      </c>
      <c r="J118" s="67" t="n">
        <v>2</v>
      </c>
      <c r="K118" s="67" t="n">
        <v>5</v>
      </c>
      <c r="L118" s="69">
        <f>ROUND($B$3*G118+$B$4*H118+$B$5*I118+$B$6*J118+$B$7*K118+IF(F118&lt;=1,$B$8,0),2)</f>
        <v/>
      </c>
      <c r="M118" s="67">
        <f>IF(L118&gt;=4.3,"🥇 Top",IF(L118&gt;=3.8,"🥈 Fuerte",IF(L118&gt;=3.3,"🥉 Considerar","—")))</f>
        <v/>
      </c>
      <c r="N118" s="67" t="inlineStr">
        <is>
          <t>Stirling Int'l Scholarships</t>
        </is>
      </c>
    </row>
  </sheetData>
  <autoFilter ref="A11:N1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6" min="1" max="2"/>
    <col width="11" customWidth="1" style="46" min="3" max="3"/>
    <col width="13" customWidth="1" style="46" min="4" max="4"/>
    <col width="12" customWidth="1" style="46" min="5" max="5"/>
    <col width="46" customWidth="1" style="46" min="6" max="6"/>
    <col width="14" customWidth="1" style="46" min="7" max="7"/>
    <col width="11" customWidth="1" style="46" min="8" max="8"/>
    <col width="12" customWidth="1" style="46" min="9" max="10"/>
    <col width="20" customWidth="1" style="46" min="11" max="11"/>
    <col width="48" customWidth="1" style="46" min="12" max="12"/>
  </cols>
  <sheetData>
    <row r="1" ht="30" customHeight="1" s="47">
      <c r="A1" s="70" t="inlineStr">
        <is>
          <t>UK DEEP-DIVE v3 — shortlist para Inova (máx. 5 aplicaciones). Becas verificadas en webs oficiales jul-2026; £ = ciclo 2026-27, ajustar ~3-5% para 2027-28. Vida = estimaciones oficiales de cada uni (catálogo). Costo neto realista = tuition + vida − beca de probabilidad media.</t>
        </is>
      </c>
    </row>
    <row r="2" ht="23.25" customHeight="1" s="47">
      <c r="A2" s="71" t="inlineStr">
        <is>
          <t>Veredicto</t>
        </is>
      </c>
      <c r="B2" s="71" t="inlineStr">
        <is>
          <t>Universidad</t>
        </is>
      </c>
      <c r="C2" s="71" t="inlineStr">
        <is>
          <t>Tuition intl £</t>
        </is>
      </c>
      <c r="D2" s="71" t="inlineStr">
        <is>
          <t>Vida/año £ (est. oficial)</t>
        </is>
      </c>
      <c r="E2" s="71" t="inlineStr">
        <is>
          <t>Total sin beca £</t>
        </is>
      </c>
      <c r="F2" s="71" t="inlineStr">
        <is>
          <t>Becas verificadas (jul-2026)</t>
        </is>
      </c>
      <c r="G2" s="71" t="inlineStr">
        <is>
          <t>¿Acumulables?</t>
        </is>
      </c>
      <c r="H2" s="71" t="inlineStr">
        <is>
          <t>Beca caso medio £</t>
        </is>
      </c>
      <c r="I2" s="71" t="inlineStr">
        <is>
          <t>Costo neto realista £</t>
        </is>
      </c>
      <c r="J2" s="71" t="inlineStr">
        <is>
          <t>Costo neto mejor caso £</t>
        </is>
      </c>
      <c r="K2" s="71" t="inlineStr">
        <is>
          <t>Deadlines beca (ciclo 2026)</t>
        </is>
      </c>
      <c r="L2" s="71" t="inlineStr">
        <is>
          <t>Notas / por qué</t>
        </is>
      </c>
    </row>
    <row r="3" ht="34.5" customHeight="1" s="47">
      <c r="A3" s="59" t="inlineStr">
        <is>
          <t>🥈 2º-1: CONDICIONAL — si Presidential 2027-28 confirma (~oct-26) sube a 1º</t>
        </is>
      </c>
      <c r="B3" s="59" t="inlineStr">
        <is>
          <t>Southampton</t>
        </is>
      </c>
      <c r="C3" s="72" t="n">
        <v>26000</v>
      </c>
      <c r="D3" s="72" t="n">
        <v>13500</v>
      </c>
      <c r="E3" s="72" t="n">
        <v>39500</v>
      </c>
      <c r="F3" s="58" t="inlineStr">
        <is>
          <t>Presidential Int'l: 10×100% fee + 15×£10.000 (25 becas, ensayo SDG, sin beca externa full)</t>
        </is>
      </c>
      <c r="G3" s="58" t="inlineStr">
        <is>
          <t>n/a</t>
        </is>
      </c>
      <c r="H3" s="72" t="n">
        <v>10000</v>
      </c>
      <c r="I3" s="72" t="n">
        <v>29500</v>
      </c>
      <c r="J3" s="72" t="n">
        <v>13500</v>
      </c>
      <c r="K3" s="58" t="inlineStr">
        <is>
          <t>22-abr (estricto, 17:00 UK)</t>
        </is>
      </c>
      <c r="L3" s="58" t="inlineStr">
        <is>
          <t>DECISIÓN oct-2026: página oficial hoy muestra versión archivada 2023 → esquema corrió 2023-2026 pero SIN confirmar 2027-28. Clave (versión 2023): elegibilidad por RESIDENCIA (Argentina en lista ✓; 3+ años residiendo) y NO tener NINGUNA beca externa. Si confirma: fee más barato + beca 100% más accesible del set.</t>
        </is>
      </c>
    </row>
    <row r="4" ht="34.5" customHeight="1" s="47">
      <c r="A4" s="59" t="inlineStr">
        <is>
          <t>👑 1º TIER</t>
        </is>
      </c>
      <c r="B4" s="59" t="inlineStr">
        <is>
          <t>Glasgow</t>
        </is>
      </c>
      <c r="C4" s="72" t="n">
        <v>33210</v>
      </c>
      <c r="D4" s="72" t="n">
        <v>12000</v>
      </c>
      <c r="E4" s="72" t="n">
        <v>45210</v>
      </c>
      <c r="F4" s="58" t="inlineStr">
        <is>
          <t>ASBS Global Impact FULL+£15k (4) · ASBS Economics £15k (9) · Entrepreneurial £15k (9) · EU £5k AUTO</t>
        </is>
      </c>
      <c r="G4" s="58" t="inlineStr">
        <is>
          <t>NO (queda la mayor)</t>
        </is>
      </c>
      <c r="H4" s="72" t="n">
        <v>15000</v>
      </c>
      <c r="I4" s="72" t="n">
        <v>30210</v>
      </c>
      <c r="J4" s="72" t="n">
        <v>-3000</v>
      </c>
      <c r="K4" s="58" t="inlineStr">
        <is>
          <t>R1 23-feb / R2 18-may</t>
        </is>
      </c>
      <c r="L4" s="58" t="inlineStr">
        <is>
          <t>Mayor cantidad de vías del set (22 becas £15k+ y una full+estipendio) + piso garantizado £5k por pasaporte ESP. Vida barata.</t>
        </is>
      </c>
    </row>
    <row r="5" ht="57" customHeight="1" s="47">
      <c r="A5" s="59" t="inlineStr">
        <is>
          <t>👑 1º TIER</t>
        </is>
      </c>
      <c r="B5" s="59" t="inlineStr">
        <is>
          <t>Bristol</t>
        </is>
      </c>
      <c r="C5" s="72" t="n">
        <v>29400</v>
      </c>
      <c r="D5" s="72" t="n">
        <v>14652</v>
      </c>
      <c r="E5" s="72" t="n">
        <v>44052</v>
      </c>
      <c r="F5" s="58" t="inlineStr">
        <is>
          <t>Think Big PGT central: £6.500/£13.000/£26.000 para CUALQUIER máster elegible (MSc Economics elegible, verificado) + becas ADICIONALES 'Think Big about Economics' £6.5k/£13k + Career Accelerator £3k. Un solo formulario para todas</t>
        </is>
      </c>
      <c r="G5" s="58" t="inlineStr">
        <is>
          <t>CA £3k aparte (ver T&amp;C)</t>
        </is>
      </c>
      <c r="H5" s="72" t="n">
        <v>13000</v>
      </c>
      <c r="I5" s="72" t="n">
        <v>31052</v>
      </c>
      <c r="J5" s="72" t="n">
        <v>18052</v>
      </c>
      <c r="K5" s="58" t="inlineStr">
        <is>
          <t>10-abr 10:00 UK (form abre ~21-oct)</t>
        </is>
      </c>
      <c r="L5" s="58" t="inlineStr">
        <is>
          <t>✔ RE-VERIFICADO jul-2026: el tramo £26k SÍ aplica a Economics vía el esquema central; las becas de la School of Economics (£6.5k/£13k) son chances extra, no un tope. Top-6 REF + mejor upside de beca parcial del set.</t>
        </is>
      </c>
    </row>
    <row r="6" ht="45.75" customHeight="1" s="47">
      <c r="A6" s="59" t="inlineStr">
        <is>
          <t>👑 1º TIER</t>
        </is>
      </c>
      <c r="B6" s="59" t="inlineStr">
        <is>
          <t>Warwick</t>
        </is>
      </c>
      <c r="C6" s="72" t="n">
        <v>32960</v>
      </c>
      <c r="D6" s="72" t="n">
        <v>13000</v>
      </c>
      <c r="E6" s="72" t="n">
        <v>45960</v>
      </c>
      <c r="F6" s="58" t="inlineStr">
        <is>
          <t>Economics Regional: 2×100% tuition para África+Sudamérica (automática, aceptar oferta ~18-may)</t>
        </is>
      </c>
      <c r="G6" s="58" t="inlineStr">
        <is>
          <t>n/a</t>
        </is>
      </c>
      <c r="H6" s="72" t="n">
        <v>0</v>
      </c>
      <c r="I6" s="72" t="n">
        <v>45960</v>
      </c>
      <c r="J6" s="72" t="n">
        <v>13000</v>
      </c>
      <c r="K6" s="58" t="inlineStr">
        <is>
          <t>Aceptar oferta antes ~18-may</t>
        </is>
      </c>
      <c r="L6" s="58" t="inlineStr">
        <is>
          <t>⚠️ Ajuste: las 2 becas son para África+Sudamérica juntas (más competencia). Sin beca es carísima — pero prestigio #1 y consideración automática. Va por upside, no por caso medio.</t>
        </is>
      </c>
    </row>
    <row r="7" ht="45.75" customHeight="1" s="47">
      <c r="A7" s="59" t="inlineStr">
        <is>
          <t>— descartada (salvo giro a T2/PhD)</t>
        </is>
      </c>
      <c r="B7" s="59" t="inlineStr">
        <is>
          <t>Sussex</t>
        </is>
      </c>
      <c r="C7" s="72" t="n">
        <v>26995</v>
      </c>
      <c r="D7" s="72" t="n">
        <v>14400</v>
      </c>
      <c r="E7" s="72" t="n">
        <v>41395</v>
      </c>
      <c r="F7" s="58" t="inlineStr">
        <is>
          <t>Chancellor's Int'l £5.000 (verificada) + Sussex Bursary £2.000 auto (⚠️ dato de catálogo, re-verificar) · ESRC SEDarc FULLY FUNDED si PhD-track 1+3 (⚠️ verificar con pathway rep)</t>
        </is>
      </c>
      <c r="G7" s="58" t="inlineStr">
        <is>
          <t>Parcial</t>
        </is>
      </c>
      <c r="H7" s="72" t="n">
        <v>5000</v>
      </c>
      <c r="I7" s="72" t="n">
        <v>36395</v>
      </c>
      <c r="J7" s="72" t="n">
        <v>0</v>
      </c>
      <c r="K7" s="58" t="inlineStr">
        <is>
          <t>Chancellor's 30-abr</t>
        </is>
      </c>
      <c r="L7" s="58" t="inlineStr">
        <is>
          <t>Solo entra al top si pesa Track 2 (#1 mundial QS Dev Studies) o la ruta ESRC PhD. Como MSc suelto, becas chicas.</t>
        </is>
      </c>
    </row>
    <row r="8" ht="57" customHeight="1" s="47">
      <c r="A8" s="62" t="inlineStr">
        <is>
          <t>🥈 2º-2 (techo £25k)</t>
        </is>
      </c>
      <c r="B8" s="62" t="inlineStr">
        <is>
          <t>Birmingham</t>
        </is>
      </c>
      <c r="C8" s="73" t="n">
        <v>31500</v>
      </c>
      <c r="D8" s="73" t="n">
        <v>12000</v>
      </c>
      <c r="E8" s="73" t="n">
        <v>43500</v>
      </c>
      <c r="F8" s="61" t="inlineStr">
        <is>
          <t>BBS Masters Scholarship HASTA £25.000 (3 tramos Dean's Awards) — Economics MSc elegible, todos salvo domiciliados China/India (Chancellor's £6k es otra beca, solo China/India). David Guard MABECS: NO aplica (solo Malasia vía MABECS)</t>
        </is>
      </c>
      <c r="G8" s="61" t="inlineStr">
        <is>
          <t>—</t>
        </is>
      </c>
      <c r="H8" s="73" t="n">
        <v>10000</v>
      </c>
      <c r="I8" s="73" t="n">
        <v>33500</v>
      </c>
      <c r="J8" s="73" t="n">
        <v>18500</v>
      </c>
      <c r="K8" s="61" t="inlineStr">
        <is>
          <t>BBS ~31-may (rolling)</t>
        </is>
      </c>
      <c r="L8" s="61" t="inlineStr">
        <is>
          <t>El 'hasta £25k' SÍ aplica; distribución por tramo no publicada — caso medio asumido £10k. Ensayo de responsible business. Compite con Bath/Essex por el 5º lugar.</t>
        </is>
      </c>
    </row>
    <row r="9" ht="23.25" customHeight="1" s="47">
      <c r="A9" s="62" t="inlineStr">
        <is>
          <t>🥈 2º-4 (probabilidad)</t>
        </is>
      </c>
      <c r="B9" s="62" t="inlineStr">
        <is>
          <t>Bath</t>
        </is>
      </c>
      <c r="C9" s="73" t="n">
        <v>28800</v>
      </c>
      <c r="D9" s="73" t="n">
        <v>15600</v>
      </c>
      <c r="E9" s="73" t="n">
        <v>44400</v>
      </c>
      <c r="F9" s="61" t="inlineStr">
        <is>
          <t>Global Excellence £10.000 (hasta 250 becas)</t>
        </is>
      </c>
      <c r="G9" s="61" t="inlineStr">
        <is>
          <t>NO (queda la mayor)</t>
        </is>
      </c>
      <c r="H9" s="73" t="n">
        <v>10000</v>
      </c>
      <c r="I9" s="73" t="n">
        <v>34400</v>
      </c>
      <c r="J9" s="73" t="n">
        <v>34400</v>
      </c>
      <c r="K9" s="61" t="inlineStr">
        <is>
          <t>GE: confirmar ciclo 2027</t>
        </is>
      </c>
      <c r="L9" s="61" t="inlineStr">
        <is>
          <t>Probabilidad ALTA de £10k (250 becas GE), pero techo: nunca más de £10k. Vida más cara del set.</t>
        </is>
      </c>
    </row>
    <row r="10" ht="34.5" customHeight="1" s="47">
      <c r="A10" s="62" t="inlineStr">
        <is>
          <t>🥈 2º-3 (piso seguro)</t>
        </is>
      </c>
      <c r="B10" s="62" t="inlineStr">
        <is>
          <t>Essex</t>
        </is>
      </c>
      <c r="C10" s="73" t="n">
        <v>24675</v>
      </c>
      <c r="D10" s="73" t="n">
        <v>12000</v>
      </c>
      <c r="E10" s="73" t="n">
        <v>36675</v>
      </c>
      <c r="F10" s="61" t="inlineStr">
        <is>
          <t>Masters Excellence 25% (~£6.200, cuasi-auto si cumplís criterios y aceptás antes 31-mar) · EU £5k</t>
        </is>
      </c>
      <c r="G10" s="61" t="inlineStr">
        <is>
          <t>Verificar</t>
        </is>
      </c>
      <c r="H10" s="73" t="n">
        <v>6200</v>
      </c>
      <c r="I10" s="73" t="n">
        <v>30475</v>
      </c>
      <c r="J10" s="73" t="n">
        <v>26675</v>
      </c>
      <c r="K10" s="61" t="inlineStr">
        <is>
          <t>Excellence: aceptar antes 31-mar</t>
        </is>
      </c>
      <c r="L10" s="61" t="inlineStr">
        <is>
          <t>El total sin beca más barato del set + 25% casi seguro. #4 REF econ (subvalorada). Techo limitado, sin beca full.</t>
        </is>
      </c>
    </row>
    <row r="11" ht="23.25" customHeight="1" s="47">
      <c r="A11" s="62" t="inlineStr">
        <is>
          <t>🥈 2º-5 (reserva)</t>
        </is>
      </c>
      <c r="B11" s="62" t="inlineStr">
        <is>
          <t>Exeter</t>
        </is>
      </c>
      <c r="C11" s="73" t="n">
        <v>26900</v>
      </c>
      <c r="D11" s="73" t="n">
        <v>13500</v>
      </c>
      <c r="E11" s="73" t="n">
        <v>40400</v>
      </c>
      <c r="F11" s="61" t="inlineStr">
        <is>
          <t>Exeter Excellence PGT: £3k/£5k/£10k + algunas full first-year fee (rondas)</t>
        </is>
      </c>
      <c r="G11" s="61" t="inlineStr">
        <is>
          <t>—</t>
        </is>
      </c>
      <c r="H11" s="73" t="n">
        <v>5000</v>
      </c>
      <c r="I11" s="73" t="n">
        <v>35400</v>
      </c>
      <c r="J11" s="73" t="n">
        <v>13500</v>
      </c>
      <c r="K11" s="61" t="inlineStr">
        <is>
          <t>Rondas (R2 sept-2026 entry)</t>
        </is>
      </c>
      <c r="L11" s="61" t="inlineStr">
        <is>
          <t>Becas medianas por rondas; existe tramo full pero escaso. Sin diferencial para tu perfil.</t>
        </is>
      </c>
    </row>
    <row r="13" ht="30" customHeight="1" s="47">
      <c r="A13" s="74" t="inlineStr">
        <is>
          <t>RANKING FINAL (Manuel, jul-2026): 👑 Bristol · Warwick · Glasgow || 2º tier: 1-Southampton (condicional Presidential) · 2-Birmingham · 3-Essex · 4-Bath · 5-Exeter. Con tope Inova de 5: corona + [Southampton si confirma + Birmingham] o [Birmingham + Essex/Bath si no confirma]. Chevening en paralelo.</t>
        </is>
      </c>
    </row>
    <row r="14" ht="15" customHeight="1" s="47">
      <c r="A14" s="52" t="inlineStr">
        <is>
          <t>Nota: 'caso medio' = beca de probabilidad razonable (no la mayor). Warwick £0 en caso medio porque su única beca es 100%-o-nada. Tuition = ciclo 2026-27 según catálogo; Southampton/Sussex re-confirmar cifra exacta al abrir 2027-28.</t>
        </is>
      </c>
    </row>
  </sheetData>
  <mergeCells count="3">
    <mergeCell ref="A13:L13"/>
    <mergeCell ref="A14:L14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46" min="1" max="1"/>
    <col width="9" customWidth="1" style="46" min="2" max="2"/>
    <col width="22" customWidth="1" style="46" min="3" max="3"/>
    <col width="30" customWidth="1" style="46" min="4" max="4"/>
    <col width="12" customWidth="1" style="46" min="5" max="5"/>
    <col width="9" customWidth="1" style="46" min="6" max="6"/>
    <col width="16" customWidth="1" style="46" min="7" max="7"/>
    <col width="10" customWidth="1" style="46" min="8" max="8"/>
    <col width="14" customWidth="1" style="46" min="9" max="9"/>
    <col width="42" customWidth="1" style="46" min="10" max="10"/>
    <col width="16" customWidth="1" style="46" min="11" max="11"/>
    <col width="12" customWidth="1" style="46" min="12" max="12"/>
    <col width="16" customWidth="1" style="46" min="13" max="13"/>
    <col width="30" customWidth="1" style="46" min="14" max="14"/>
    <col width="7" customWidth="1" style="46" min="15" max="16"/>
    <col width="34" customWidth="1" style="46" min="17" max="17"/>
  </cols>
  <sheetData>
    <row r="1" ht="34.5" customHeight="1" s="47">
      <c r="A1" s="57" t="inlineStr">
        <is>
          <t>Región/País</t>
        </is>
      </c>
      <c r="B1" s="57" t="inlineStr">
        <is>
          <t>Gestión</t>
        </is>
      </c>
      <c r="C1" s="57" t="inlineStr">
        <is>
          <t>Universidad</t>
        </is>
      </c>
      <c r="D1" s="57" t="inlineStr">
        <is>
          <t>Programa</t>
        </is>
      </c>
      <c r="E1" s="57" t="inlineStr">
        <is>
          <t>Ciudad</t>
        </is>
      </c>
      <c r="F1" s="57" t="inlineStr">
        <is>
          <t>Duración</t>
        </is>
      </c>
      <c r="G1" s="57" t="inlineStr">
        <is>
          <t>Tuition/año (Manuel)</t>
        </is>
      </c>
      <c r="H1" s="57" t="inlineStr">
        <is>
          <t>Vida/año</t>
        </is>
      </c>
      <c r="I1" s="57" t="inlineStr">
        <is>
          <t>Total/año</t>
        </is>
      </c>
      <c r="J1" s="57" t="inlineStr">
        <is>
          <t>GRE-GMAT (verificado jul-2026)</t>
        </is>
      </c>
      <c r="K1" s="57" t="inlineStr">
        <is>
          <t>Nota GRE objetivo</t>
        </is>
      </c>
      <c r="L1" s="57" t="inlineStr">
        <is>
          <t>IELTS/Inglés mín.</t>
        </is>
      </c>
      <c r="M1" s="57" t="inlineStr">
        <is>
          <t>Deadline (confirmar 2027)</t>
        </is>
      </c>
      <c r="N1" s="57" t="inlineStr">
        <is>
          <t>Becas relevantes</t>
        </is>
      </c>
      <c r="O1" s="57" t="inlineStr">
        <is>
          <t>Fit T1</t>
        </is>
      </c>
      <c r="P1" s="57" t="inlineStr">
        <is>
          <t>Fit T2</t>
        </is>
      </c>
      <c r="Q1" s="57" t="inlineStr">
        <is>
          <t>URL</t>
        </is>
      </c>
    </row>
    <row r="2" ht="34.5" customHeight="1" s="47">
      <c r="A2" s="67" t="inlineStr">
        <is>
          <t>UK</t>
        </is>
      </c>
      <c r="B2" s="67" t="inlineStr">
        <is>
          <t>Inova</t>
        </is>
      </c>
      <c r="C2" s="67" t="inlineStr">
        <is>
          <t>Warwick (Dept. Economics)</t>
        </is>
      </c>
      <c r="D2" s="67" t="inlineStr">
        <is>
          <t>MSc Economics</t>
        </is>
      </c>
      <c r="E2" s="67" t="inlineStr">
        <is>
          <t>Coventry</t>
        </is>
      </c>
      <c r="F2" s="67" t="inlineStr">
        <is>
          <t>1 año</t>
        </is>
      </c>
      <c r="G2" s="67" t="inlineStr">
        <is>
          <t>£32,960</t>
        </is>
      </c>
      <c r="H2" s="67" t="inlineStr">
        <is>
          <t>£13,000</t>
        </is>
      </c>
      <c r="I2" s="67" t="inlineStr">
        <is>
          <t>£45,960</t>
        </is>
      </c>
      <c r="J2" s="67" t="inlineStr">
        <is>
          <t>No requerido</t>
        </is>
      </c>
      <c r="K2" s="67" t="inlineStr">
        <is>
          <t>—</t>
        </is>
      </c>
      <c r="L2" s="67" t="inlineStr">
        <is>
          <t>7.0</t>
        </is>
      </c>
      <c r="M2" s="67" t="inlineStr">
        <is>
          <t>Rolling (5 rondas: R5 rolling)</t>
        </is>
      </c>
      <c r="N2" s="67" t="inlineStr">
        <is>
          <t>Economics Regional Scholarship (Sudamérica): 2×100% tuition + 1×100% excelencia general</t>
        </is>
      </c>
      <c r="O2" s="67" t="inlineStr">
        <is>
          <t>★★★★</t>
        </is>
      </c>
      <c r="P2" s="67" t="inlineStr">
        <is>
          <t>★★★</t>
        </is>
      </c>
      <c r="Q2" s="67" t="inlineStr">
        <is>
          <t>https://warwick.ac.uk/study/postgraduate/courses/msc-economics/</t>
        </is>
      </c>
    </row>
    <row r="3" ht="34.5" customHeight="1" s="47">
      <c r="A3" s="67" t="inlineStr">
        <is>
          <t>UK</t>
        </is>
      </c>
      <c r="B3" s="67" t="inlineStr">
        <is>
          <t>Inova</t>
        </is>
      </c>
      <c r="C3" s="67" t="inlineStr">
        <is>
          <t>Warwick (Dept. Economics)</t>
        </is>
      </c>
      <c r="D3" s="67" t="inlineStr">
        <is>
          <t>MSc Economics &amp; International Financial Econ</t>
        </is>
      </c>
      <c r="E3" s="67" t="inlineStr">
        <is>
          <t>Coventry</t>
        </is>
      </c>
      <c r="F3" s="67" t="inlineStr">
        <is>
          <t>1 año</t>
        </is>
      </c>
      <c r="G3" s="67" t="inlineStr">
        <is>
          <t>£32,960</t>
        </is>
      </c>
      <c r="H3" s="67" t="inlineStr">
        <is>
          <t>£13,000</t>
        </is>
      </c>
      <c r="I3" s="67" t="inlineStr">
        <is>
          <t>£45,960</t>
        </is>
      </c>
      <c r="J3" s="67" t="inlineStr">
        <is>
          <t>No requerido</t>
        </is>
      </c>
      <c r="K3" s="67" t="inlineStr">
        <is>
          <t>—</t>
        </is>
      </c>
      <c r="L3" s="67" t="inlineStr">
        <is>
          <t>7.0</t>
        </is>
      </c>
      <c r="M3" s="67" t="inlineStr">
        <is>
          <t>Rolling (R5 rolling)</t>
        </is>
      </c>
      <c r="N3" s="67" t="inlineStr">
        <is>
          <t>Mismas 2 becas regionales Sudamérica 100% tuition + 1 excelencia</t>
        </is>
      </c>
      <c r="O3" s="67" t="inlineStr">
        <is>
          <t>★★★★★</t>
        </is>
      </c>
      <c r="P3" s="67" t="inlineStr">
        <is>
          <t>★★★</t>
        </is>
      </c>
      <c r="Q3" s="67" t="inlineStr">
        <is>
          <t>https://warwick.ac.uk/study/postgraduate/courses/msc-economics-and-international-financial-economics/</t>
        </is>
      </c>
    </row>
    <row r="4" ht="34.5" customHeight="1" s="47">
      <c r="A4" s="67" t="inlineStr">
        <is>
          <t>UK</t>
        </is>
      </c>
      <c r="B4" s="67" t="inlineStr">
        <is>
          <t>Inova</t>
        </is>
      </c>
      <c r="C4" s="67" t="inlineStr">
        <is>
          <t>Warwick (Dept. Economics)</t>
        </is>
      </c>
      <c r="D4" s="67" t="inlineStr">
        <is>
          <t>MSc Economics &amp; Data Science</t>
        </is>
      </c>
      <c r="E4" s="67" t="inlineStr">
        <is>
          <t>Coventry</t>
        </is>
      </c>
      <c r="F4" s="67" t="inlineStr">
        <is>
          <t>1 año</t>
        </is>
      </c>
      <c r="G4" s="67" t="inlineStr">
        <is>
          <t>£32,960</t>
        </is>
      </c>
      <c r="H4" s="67" t="inlineStr">
        <is>
          <t>£13,000</t>
        </is>
      </c>
      <c r="I4" s="67" t="inlineStr">
        <is>
          <t>£45,960</t>
        </is>
      </c>
      <c r="J4" s="67" t="inlineStr">
        <is>
          <t>No requerido</t>
        </is>
      </c>
      <c r="K4" s="67" t="inlineStr">
        <is>
          <t>—</t>
        </is>
      </c>
      <c r="L4" s="67" t="inlineStr">
        <is>
          <t>7.0</t>
        </is>
      </c>
      <c r="M4" s="67" t="inlineStr">
        <is>
          <t>Rolling</t>
        </is>
      </c>
      <c r="N4" s="67" t="inlineStr">
        <is>
          <t>Mismas becas regionales Sudamérica 100% tuition</t>
        </is>
      </c>
      <c r="O4" s="67" t="inlineStr">
        <is>
          <t>★★★</t>
        </is>
      </c>
      <c r="P4" s="67" t="inlineStr">
        <is>
          <t>★★★★</t>
        </is>
      </c>
      <c r="Q4" s="67" t="inlineStr">
        <is>
          <t>https://warwick.ac.uk/study/postgraduate/courses/msc-economics-and-data-science/</t>
        </is>
      </c>
    </row>
    <row r="5" ht="23.25" customHeight="1" s="47">
      <c r="A5" s="75" t="inlineStr">
        <is>
          <t>UK</t>
        </is>
      </c>
      <c r="B5" s="75" t="inlineStr">
        <is>
          <t>Inova</t>
        </is>
      </c>
      <c r="C5" s="75" t="inlineStr">
        <is>
          <t>Warwick (WBS)</t>
        </is>
      </c>
      <c r="D5" s="75" t="inlineStr">
        <is>
          <t>MSc Finance &amp; Economics (Business School)</t>
        </is>
      </c>
      <c r="E5" s="75" t="inlineStr">
        <is>
          <t>Coventry</t>
        </is>
      </c>
      <c r="F5" s="75" t="inlineStr">
        <is>
          <t>1 año</t>
        </is>
      </c>
      <c r="G5" s="75" t="inlineStr">
        <is>
          <t>£41,540</t>
        </is>
      </c>
      <c r="H5" s="75" t="inlineStr">
        <is>
          <t>£13,000</t>
        </is>
      </c>
      <c r="I5" s="75" t="inlineStr">
        <is>
          <t>£54,540</t>
        </is>
      </c>
      <c r="J5" s="75" t="inlineStr">
        <is>
          <t>No requerido; GMAT/GRE rec. — competitivo GRE 320+ (Q160+) o GMAT 650+</t>
        </is>
      </c>
      <c r="K5" s="75" t="inlineStr">
        <is>
          <t>Q ≥160 (rec.)</t>
        </is>
      </c>
      <c r="L5" s="75" t="inlineStr">
        <is>
          <t>7.0</t>
        </is>
      </c>
      <c r="M5" s="75" t="inlineStr">
        <is>
          <t>2/08/2026</t>
        </is>
      </c>
      <c r="N5" s="75" t="inlineStr">
        <is>
          <t>WBS scholarships 50–100% (competitivas)</t>
        </is>
      </c>
      <c r="O5" s="75" t="inlineStr">
        <is>
          <t>★★★</t>
        </is>
      </c>
      <c r="P5" s="75" t="inlineStr">
        <is>
          <t>★★</t>
        </is>
      </c>
      <c r="Q5" s="75" t="inlineStr">
        <is>
          <t>https://www.wbs.ac.uk/courses/postgraduate/finance-and-economics/</t>
        </is>
      </c>
    </row>
    <row r="6" ht="23.25" customHeight="1" s="47">
      <c r="A6" s="67" t="inlineStr">
        <is>
          <t>UK</t>
        </is>
      </c>
      <c r="B6" s="67" t="inlineStr">
        <is>
          <t>Inova</t>
        </is>
      </c>
      <c r="C6" s="67" t="inlineStr">
        <is>
          <t>Bristol</t>
        </is>
      </c>
      <c r="D6" s="67" t="inlineStr">
        <is>
          <t>MSc Economics (paths: General/Macro/Econ Policy)</t>
        </is>
      </c>
      <c r="E6" s="67" t="inlineStr">
        <is>
          <t>Bristol</t>
        </is>
      </c>
      <c r="F6" s="67" t="inlineStr">
        <is>
          <t>1 año</t>
        </is>
      </c>
      <c r="G6" s="67" t="inlineStr">
        <is>
          <t>£29,400</t>
        </is>
      </c>
      <c r="H6" s="67" t="inlineStr">
        <is>
          <t>£14,652</t>
        </is>
      </c>
      <c r="I6" s="67" t="inlineStr">
        <is>
          <t>£44,052</t>
        </is>
      </c>
      <c r="J6" s="67" t="inlineStr">
        <is>
          <t>No requerido</t>
        </is>
      </c>
      <c r="K6" s="67" t="inlineStr">
        <is>
          <t>—</t>
        </is>
      </c>
      <c r="L6" s="67" t="inlineStr">
        <is>
          <t>6.5</t>
        </is>
      </c>
      <c r="M6" s="67" t="inlineStr">
        <is>
          <t>27/08/2026</t>
        </is>
      </c>
      <c r="N6" s="67" t="inlineStr">
        <is>
          <t>Think Big Scholarship £26,000 + Career Accelerator £3,000</t>
        </is>
      </c>
      <c r="O6" s="67" t="inlineStr">
        <is>
          <t>★★★★</t>
        </is>
      </c>
      <c r="P6" s="67" t="inlineStr">
        <is>
          <t>★★★</t>
        </is>
      </c>
      <c r="Q6" s="67" t="inlineStr">
        <is>
          <t>https://www.bristol.ac.uk/study/postgraduate/taught/msc-economics/</t>
        </is>
      </c>
    </row>
    <row r="7" ht="45.75" customHeight="1" s="47">
      <c r="A7" s="67" t="inlineStr">
        <is>
          <t>UK</t>
        </is>
      </c>
      <c r="B7" s="67" t="inlineStr">
        <is>
          <t>Inova</t>
        </is>
      </c>
      <c r="C7" s="67" t="inlineStr">
        <is>
          <t>Sussex</t>
        </is>
      </c>
      <c r="D7" s="67" t="inlineStr">
        <is>
          <t>MSc Development Economics</t>
        </is>
      </c>
      <c r="E7" s="67" t="inlineStr">
        <is>
          <t>Brighton</t>
        </is>
      </c>
      <c r="F7" s="67" t="inlineStr">
        <is>
          <t>1 año</t>
        </is>
      </c>
      <c r="G7" s="67" t="inlineStr">
        <is>
          <t>£26,995</t>
        </is>
      </c>
      <c r="H7" s="67" t="inlineStr">
        <is>
          <t>£14,400</t>
        </is>
      </c>
      <c r="I7" s="67" t="inlineStr">
        <is>
          <t>£41,395</t>
        </is>
      </c>
      <c r="J7" s="67" t="inlineStr">
        <is>
          <t>No requerido</t>
        </is>
      </c>
      <c r="K7" s="67" t="inlineStr">
        <is>
          <t>—</t>
        </is>
      </c>
      <c r="L7" s="67" t="inlineStr">
        <is>
          <t>6.5</t>
        </is>
      </c>
      <c r="M7" s="67" t="inlineStr">
        <is>
          <t>1/08/2026</t>
        </is>
      </c>
      <c r="N7" s="67" t="inlineStr">
        <is>
          <t>Chancellor's International Scholarship £5,000 + BBS automatic £2,000 + ESRC SEDarc (fully funded PhD-track)</t>
        </is>
      </c>
      <c r="O7" s="67" t="inlineStr">
        <is>
          <t>★★</t>
        </is>
      </c>
      <c r="P7" s="67" t="inlineStr">
        <is>
          <t>★★★★★</t>
        </is>
      </c>
      <c r="Q7" s="67" t="inlineStr">
        <is>
          <t>https://www.sussex.ac.uk/study/masters/courses/development-economics-msc</t>
        </is>
      </c>
    </row>
    <row r="8" ht="23.25" customHeight="1" s="47">
      <c r="A8" s="67" t="inlineStr">
        <is>
          <t>UK</t>
        </is>
      </c>
      <c r="B8" s="67" t="inlineStr">
        <is>
          <t>Inova</t>
        </is>
      </c>
      <c r="C8" s="67" t="inlineStr">
        <is>
          <t>Sussex</t>
        </is>
      </c>
      <c r="D8" s="67" t="inlineStr">
        <is>
          <t>MSc Economics</t>
        </is>
      </c>
      <c r="E8" s="67" t="inlineStr">
        <is>
          <t>Brighton</t>
        </is>
      </c>
      <c r="F8" s="67" t="inlineStr">
        <is>
          <t>1 año</t>
        </is>
      </c>
      <c r="G8" s="67" t="inlineStr">
        <is>
          <t>£26,995</t>
        </is>
      </c>
      <c r="H8" s="67" t="inlineStr">
        <is>
          <t>£14,400</t>
        </is>
      </c>
      <c r="I8" s="67" t="inlineStr">
        <is>
          <t>£41,395</t>
        </is>
      </c>
      <c r="J8" s="67" t="inlineStr">
        <is>
          <t>No requerido</t>
        </is>
      </c>
      <c r="K8" s="67" t="inlineStr">
        <is>
          <t>—</t>
        </is>
      </c>
      <c r="L8" s="67" t="inlineStr">
        <is>
          <t>6.5</t>
        </is>
      </c>
      <c r="M8" s="67" t="inlineStr">
        <is>
          <t>1/08/2026</t>
        </is>
      </c>
      <c r="N8" s="67" t="inlineStr">
        <is>
          <t>BBS automatic £2,000 + Chancellor's £5,000</t>
        </is>
      </c>
      <c r="O8" s="67" t="inlineStr">
        <is>
          <t>★★★</t>
        </is>
      </c>
      <c r="P8" s="67" t="inlineStr">
        <is>
          <t>★★★</t>
        </is>
      </c>
      <c r="Q8" s="67" t="inlineStr">
        <is>
          <t>https://www.sussex.ac.uk/study/masters/courses/economics-msc</t>
        </is>
      </c>
    </row>
    <row r="9" ht="34.5" customHeight="1" s="47">
      <c r="A9" s="67" t="inlineStr">
        <is>
          <t>UK</t>
        </is>
      </c>
      <c r="B9" s="67" t="inlineStr">
        <is>
          <t>Inova</t>
        </is>
      </c>
      <c r="C9" s="67" t="inlineStr">
        <is>
          <t>Sussex</t>
        </is>
      </c>
      <c r="D9" s="67" t="inlineStr">
        <is>
          <t>MSc International Finance and Economics</t>
        </is>
      </c>
      <c r="E9" s="67" t="inlineStr">
        <is>
          <t>Brighton</t>
        </is>
      </c>
      <c r="F9" s="67" t="inlineStr">
        <is>
          <t>1 año</t>
        </is>
      </c>
      <c r="G9" s="67" t="inlineStr">
        <is>
          <t>£26,995</t>
        </is>
      </c>
      <c r="H9" s="67" t="inlineStr">
        <is>
          <t>£14,400</t>
        </is>
      </c>
      <c r="I9" s="67" t="inlineStr">
        <is>
          <t>£41,395</t>
        </is>
      </c>
      <c r="J9" s="67" t="inlineStr">
        <is>
          <t>No requerido</t>
        </is>
      </c>
      <c r="K9" s="67" t="inlineStr">
        <is>
          <t>—</t>
        </is>
      </c>
      <c r="L9" s="67" t="inlineStr">
        <is>
          <t>6.5</t>
        </is>
      </c>
      <c r="M9" s="67" t="inlineStr">
        <is>
          <t>1/08/2026</t>
        </is>
      </c>
      <c r="N9" s="67" t="inlineStr">
        <is>
          <t>BBS automatic £2,000</t>
        </is>
      </c>
      <c r="O9" s="67" t="inlineStr">
        <is>
          <t>★★★★</t>
        </is>
      </c>
      <c r="P9" s="67" t="inlineStr">
        <is>
          <t>★★</t>
        </is>
      </c>
      <c r="Q9" s="67" t="inlineStr">
        <is>
          <t>https://www.sussex.ac.uk/study/masters/courses/international-finance-and-economics-msc</t>
        </is>
      </c>
    </row>
    <row r="10" ht="45.75" customHeight="1" s="47">
      <c r="A10" s="75" t="inlineStr">
        <is>
          <t>UK</t>
        </is>
      </c>
      <c r="B10" s="75" t="inlineStr">
        <is>
          <t>Inova</t>
        </is>
      </c>
      <c r="C10" s="75" t="inlineStr">
        <is>
          <t>Edinburgh (SGPE)</t>
        </is>
      </c>
      <c r="D10" s="75" t="inlineStr">
        <is>
          <t>MSc Economics (también: Econometrics / Finance)</t>
        </is>
      </c>
      <c r="E10" s="75" t="inlineStr">
        <is>
          <t>Edinburgh</t>
        </is>
      </c>
      <c r="F10" s="75" t="inlineStr">
        <is>
          <t>1 año</t>
        </is>
      </c>
      <c r="G10" s="75" t="inlineStr">
        <is>
          <t>£28,800 – £30,000</t>
        </is>
      </c>
      <c r="H10" s="75" t="inlineStr">
        <is>
          <t>£18,500</t>
        </is>
      </c>
      <c r="I10" s="75" t="inlineStr">
        <is>
          <t>£47,300 – £48,500</t>
        </is>
      </c>
      <c r="J10" s="75" t="inlineStr">
        <is>
          <t>No requerido; rec. fuerte GRE Q percentil ≥85</t>
        </is>
      </c>
      <c r="K10" s="75" t="inlineStr">
        <is>
          <t>Q ≥165 (rec.)</t>
        </is>
      </c>
      <c r="L10" s="75" t="inlineStr">
        <is>
          <t>7.0 (7.5 SGPE)</t>
        </is>
      </c>
      <c r="M10" s="75" t="inlineStr">
        <is>
          <t>Round 2: 01/06/2026</t>
        </is>
      </c>
      <c r="N10" s="75" t="inlineStr">
        <is>
          <t>25% fee discount outstanding + ESRC 1+3 (PhD-track fully funded)</t>
        </is>
      </c>
      <c r="O10" s="75" t="inlineStr">
        <is>
          <t>★★★★</t>
        </is>
      </c>
      <c r="P10" s="75" t="inlineStr">
        <is>
          <t>★★★★</t>
        </is>
      </c>
      <c r="Q10" s="75" t="inlineStr">
        <is>
          <t>https://study.ed.ac.uk/programmes/postgraduate-taught/272-economics-economics-econometrics-economics-finance</t>
        </is>
      </c>
    </row>
    <row r="11" ht="34.5" customHeight="1" s="47">
      <c r="A11" s="67" t="inlineStr">
        <is>
          <t>UK</t>
        </is>
      </c>
      <c r="B11" s="67" t="inlineStr">
        <is>
          <t>Inova</t>
        </is>
      </c>
      <c r="C11" s="67" t="inlineStr">
        <is>
          <t>Manchester</t>
        </is>
      </c>
      <c r="D11" s="67" t="inlineStr">
        <is>
          <t>MSc Economics</t>
        </is>
      </c>
      <c r="E11" s="67" t="inlineStr">
        <is>
          <t>Manchester</t>
        </is>
      </c>
      <c r="F11" s="67" t="inlineStr">
        <is>
          <t>1 año</t>
        </is>
      </c>
      <c r="G11" s="67" t="inlineStr">
        <is>
          <t>£33,600</t>
        </is>
      </c>
      <c r="H11" s="67" t="inlineStr">
        <is>
          <t>£13,776</t>
        </is>
      </c>
      <c r="I11" s="67" t="inlineStr">
        <is>
          <t>£47,376</t>
        </is>
      </c>
      <c r="J11" s="67" t="inlineStr">
        <is>
          <t>No requerido</t>
        </is>
      </c>
      <c r="K11" s="67" t="inlineStr">
        <is>
          <t>—</t>
        </is>
      </c>
      <c r="L11" s="67" t="inlineStr">
        <is>
          <t>7.0</t>
        </is>
      </c>
      <c r="M11" s="67" t="inlineStr">
        <is>
          <t>Rolling</t>
        </is>
      </c>
      <c r="N11" s="67" t="inlineStr">
        <is>
          <t>Faculty scholarships (consultar funding DB)</t>
        </is>
      </c>
      <c r="O11" s="67" t="inlineStr">
        <is>
          <t>★★★★</t>
        </is>
      </c>
      <c r="P11" s="67" t="inlineStr">
        <is>
          <t>★★★</t>
        </is>
      </c>
      <c r="Q11" s="67" t="inlineStr">
        <is>
          <t>https://www.manchester.ac.uk/study/masters/courses/list/01380/msc-economics/</t>
        </is>
      </c>
    </row>
    <row r="12" ht="23.25" customHeight="1" s="47">
      <c r="A12" s="67" t="inlineStr">
        <is>
          <t>UK</t>
        </is>
      </c>
      <c r="B12" s="67" t="inlineStr">
        <is>
          <t>Inova</t>
        </is>
      </c>
      <c r="C12" s="67" t="inlineStr">
        <is>
          <t>Manchester</t>
        </is>
      </c>
      <c r="D12" s="67" t="inlineStr">
        <is>
          <t>MSc Financial Economics</t>
        </is>
      </c>
      <c r="E12" s="67" t="inlineStr">
        <is>
          <t>Manchester</t>
        </is>
      </c>
      <c r="F12" s="67" t="inlineStr">
        <is>
          <t>1 año</t>
        </is>
      </c>
      <c r="G12" s="67" t="inlineStr">
        <is>
          <t>£33,600</t>
        </is>
      </c>
      <c r="H12" s="67" t="inlineStr">
        <is>
          <t>£13,776</t>
        </is>
      </c>
      <c r="I12" s="67" t="inlineStr">
        <is>
          <t>£47,376</t>
        </is>
      </c>
      <c r="J12" s="67" t="inlineStr">
        <is>
          <t>No requerido</t>
        </is>
      </c>
      <c r="K12" s="67" t="inlineStr">
        <is>
          <t>—</t>
        </is>
      </c>
      <c r="L12" s="67" t="inlineStr">
        <is>
          <t>7.0</t>
        </is>
      </c>
      <c r="M12" s="67" t="inlineStr">
        <is>
          <t>Rolling</t>
        </is>
      </c>
      <c r="N12" s="67" t="inlineStr">
        <is>
          <t>Faculty scholarships</t>
        </is>
      </c>
      <c r="O12" s="67" t="inlineStr">
        <is>
          <t>★★★★★</t>
        </is>
      </c>
      <c r="P12" s="67" t="inlineStr">
        <is>
          <t>★★</t>
        </is>
      </c>
      <c r="Q12" s="67" t="inlineStr">
        <is>
          <t>https://www.manchester.ac.uk/study/masters/courses/</t>
        </is>
      </c>
    </row>
    <row r="13" ht="23.25" customHeight="1" s="47">
      <c r="A13" s="67" t="inlineStr">
        <is>
          <t>UK</t>
        </is>
      </c>
      <c r="B13" s="67" t="inlineStr">
        <is>
          <t>Inova</t>
        </is>
      </c>
      <c r="C13" s="67" t="inlineStr">
        <is>
          <t>Manchester</t>
        </is>
      </c>
      <c r="D13" s="67" t="inlineStr">
        <is>
          <t>MSc Economics &amp; Data Science</t>
        </is>
      </c>
      <c r="E13" s="67" t="inlineStr">
        <is>
          <t>Manchester</t>
        </is>
      </c>
      <c r="F13" s="67" t="inlineStr">
        <is>
          <t>1 año</t>
        </is>
      </c>
      <c r="G13" s="67" t="inlineStr">
        <is>
          <t>£35,200</t>
        </is>
      </c>
      <c r="H13" s="67" t="inlineStr">
        <is>
          <t>£13,776</t>
        </is>
      </c>
      <c r="I13" s="67" t="inlineStr">
        <is>
          <t>£48,976</t>
        </is>
      </c>
      <c r="J13" s="67" t="inlineStr">
        <is>
          <t>No requerido</t>
        </is>
      </c>
      <c r="K13" s="67" t="inlineStr">
        <is>
          <t>—</t>
        </is>
      </c>
      <c r="L13" s="67" t="inlineStr">
        <is>
          <t>7.0</t>
        </is>
      </c>
      <c r="M13" s="67" t="inlineStr">
        <is>
          <t>Rolling</t>
        </is>
      </c>
      <c r="N13" s="67" t="inlineStr">
        <is>
          <t>Faculty scholarships</t>
        </is>
      </c>
      <c r="O13" s="67" t="inlineStr">
        <is>
          <t>★★★</t>
        </is>
      </c>
      <c r="P13" s="67" t="inlineStr">
        <is>
          <t>★★★★</t>
        </is>
      </c>
      <c r="Q13" s="67" t="inlineStr">
        <is>
          <t>https://www.manchester.ac.uk/study/masters/courses/</t>
        </is>
      </c>
    </row>
    <row r="14" ht="34.5" customHeight="1" s="47">
      <c r="A14" s="67" t="inlineStr">
        <is>
          <t>UK</t>
        </is>
      </c>
      <c r="B14" s="67" t="inlineStr">
        <is>
          <t>Inova</t>
        </is>
      </c>
      <c r="C14" s="67" t="inlineStr">
        <is>
          <t>York</t>
        </is>
      </c>
      <c r="D14" s="67" t="inlineStr">
        <is>
          <t>MSc Economics</t>
        </is>
      </c>
      <c r="E14" s="67" t="inlineStr">
        <is>
          <t>York</t>
        </is>
      </c>
      <c r="F14" s="67" t="inlineStr">
        <is>
          <t>1 año</t>
        </is>
      </c>
      <c r="G14" s="67" t="inlineStr">
        <is>
          <t>£27,250</t>
        </is>
      </c>
      <c r="H14" s="67" t="inlineStr">
        <is>
          <t>£11,584</t>
        </is>
      </c>
      <c r="I14" s="67" t="inlineStr">
        <is>
          <t>£38,834</t>
        </is>
      </c>
      <c r="J14" s="67" t="inlineStr">
        <is>
          <t>No requerido</t>
        </is>
      </c>
      <c r="K14" s="67" t="inlineStr">
        <is>
          <t>—</t>
        </is>
      </c>
      <c r="L14" s="67" t="inlineStr">
        <is>
          <t>6.5</t>
        </is>
      </c>
      <c r="M14" s="67" t="inlineStr">
        <is>
          <t>Rolling</t>
        </is>
      </c>
      <c r="N14" s="67" t="inlineStr">
        <is>
          <t>Merit Scholarships (consultar)</t>
        </is>
      </c>
      <c r="O14" s="67" t="inlineStr">
        <is>
          <t>★★★</t>
        </is>
      </c>
      <c r="P14" s="67" t="inlineStr">
        <is>
          <t>★★★</t>
        </is>
      </c>
      <c r="Q14" s="67" t="inlineStr">
        <is>
          <t>https://www.york.ac.uk/study/postgraduate-taught/courses/msc-economics/</t>
        </is>
      </c>
    </row>
    <row r="15" ht="34.5" customHeight="1" s="47">
      <c r="A15" s="67" t="inlineStr">
        <is>
          <t>UK</t>
        </is>
      </c>
      <c r="B15" s="67" t="inlineStr">
        <is>
          <t>Inova</t>
        </is>
      </c>
      <c r="C15" s="67" t="inlineStr">
        <is>
          <t>York</t>
        </is>
      </c>
      <c r="D15" s="67" t="inlineStr">
        <is>
          <t>MSc Econometrics and Economics</t>
        </is>
      </c>
      <c r="E15" s="67" t="inlineStr">
        <is>
          <t>York</t>
        </is>
      </c>
      <c r="F15" s="67" t="inlineStr">
        <is>
          <t>1 año</t>
        </is>
      </c>
      <c r="G15" s="67" t="inlineStr">
        <is>
          <t>£27,250</t>
        </is>
      </c>
      <c r="H15" s="67" t="inlineStr">
        <is>
          <t>£11,584</t>
        </is>
      </c>
      <c r="I15" s="67" t="inlineStr">
        <is>
          <t>£38,834</t>
        </is>
      </c>
      <c r="J15" s="67" t="inlineStr">
        <is>
          <t>No requerido</t>
        </is>
      </c>
      <c r="K15" s="67" t="inlineStr">
        <is>
          <t>—</t>
        </is>
      </c>
      <c r="L15" s="67" t="inlineStr">
        <is>
          <t>6.5</t>
        </is>
      </c>
      <c r="M15" s="67" t="inlineStr">
        <is>
          <t>Rolling</t>
        </is>
      </c>
      <c r="N15" s="67" t="inlineStr">
        <is>
          <t>Merit Scholarships</t>
        </is>
      </c>
      <c r="O15" s="67" t="inlineStr">
        <is>
          <t>★★★</t>
        </is>
      </c>
      <c r="P15" s="67" t="inlineStr">
        <is>
          <t>★★★★★</t>
        </is>
      </c>
      <c r="Q15" s="67" t="inlineStr">
        <is>
          <t>https://www.york.ac.uk/study/postgraduate-taught/courses/msc-econometrics-economics/</t>
        </is>
      </c>
    </row>
    <row r="16" ht="45.75" customHeight="1" s="47">
      <c r="A16" s="67" t="inlineStr">
        <is>
          <t>UK</t>
        </is>
      </c>
      <c r="B16" s="67" t="inlineStr">
        <is>
          <t>Inova</t>
        </is>
      </c>
      <c r="C16" s="67" t="inlineStr">
        <is>
          <t>York</t>
        </is>
      </c>
      <c r="D16" s="67" t="inlineStr">
        <is>
          <t>MSc Development Economics &amp; Emerging Markets</t>
        </is>
      </c>
      <c r="E16" s="67" t="inlineStr">
        <is>
          <t>York</t>
        </is>
      </c>
      <c r="F16" s="67" t="inlineStr">
        <is>
          <t>1 año</t>
        </is>
      </c>
      <c r="G16" s="67" t="inlineStr">
        <is>
          <t>£27,250</t>
        </is>
      </c>
      <c r="H16" s="67" t="inlineStr">
        <is>
          <t>£11,584</t>
        </is>
      </c>
      <c r="I16" s="67" t="inlineStr">
        <is>
          <t>£38,834</t>
        </is>
      </c>
      <c r="J16" s="67" t="inlineStr">
        <is>
          <t>No requerido</t>
        </is>
      </c>
      <c r="K16" s="67" t="inlineStr">
        <is>
          <t>—</t>
        </is>
      </c>
      <c r="L16" s="67" t="inlineStr">
        <is>
          <t>6.5</t>
        </is>
      </c>
      <c r="M16" s="67" t="inlineStr">
        <is>
          <t>Rolling</t>
        </is>
      </c>
      <c r="N16" s="67" t="inlineStr">
        <is>
          <t>Merit Scholarships</t>
        </is>
      </c>
      <c r="O16" s="67" t="inlineStr">
        <is>
          <t>★★</t>
        </is>
      </c>
      <c r="P16" s="67" t="inlineStr">
        <is>
          <t>★★★★★</t>
        </is>
      </c>
      <c r="Q16" s="67" t="inlineStr">
        <is>
          <t>https://www.york.ac.uk/study/postgraduate-taught/courses/msc-development-economics-and-emerging-markets/</t>
        </is>
      </c>
    </row>
    <row r="17" ht="34.5" customHeight="1" s="47">
      <c r="A17" s="67" t="inlineStr">
        <is>
          <t>UK</t>
        </is>
      </c>
      <c r="B17" s="67" t="inlineStr">
        <is>
          <t>Inova</t>
        </is>
      </c>
      <c r="C17" s="67" t="inlineStr">
        <is>
          <t>Glasgow</t>
        </is>
      </c>
      <c r="D17" s="67" t="inlineStr">
        <is>
          <t>MSc Economics</t>
        </is>
      </c>
      <c r="E17" s="67" t="inlineStr">
        <is>
          <t>Glasgow</t>
        </is>
      </c>
      <c r="F17" s="67" t="inlineStr">
        <is>
          <t>1 año</t>
        </is>
      </c>
      <c r="G17" s="67" t="inlineStr">
        <is>
          <t>£33,210</t>
        </is>
      </c>
      <c r="H17" s="67" t="inlineStr">
        <is>
          <t>£12,000</t>
        </is>
      </c>
      <c r="I17" s="67" t="inlineStr">
        <is>
          <t>£45,210</t>
        </is>
      </c>
      <c r="J17" s="67" t="inlineStr">
        <is>
          <t>No requerido</t>
        </is>
      </c>
      <c r="K17" s="67" t="inlineStr">
        <is>
          <t>—</t>
        </is>
      </c>
      <c r="L17" s="67" t="inlineStr">
        <is>
          <t>6.5</t>
        </is>
      </c>
      <c r="M17" s="67" t="inlineStr">
        <is>
          <t>Rolling (6 rondas; R6 hasta 08/07/2026)</t>
        </is>
      </c>
      <c r="N17" s="67" t="inlineStr">
        <is>
          <t>ASBS Economics Scholarship £15,000 + EU Scholarship £5,000 (por ciudadanía española)</t>
        </is>
      </c>
      <c r="O17" s="67" t="inlineStr">
        <is>
          <t>★★★★</t>
        </is>
      </c>
      <c r="P17" s="67" t="inlineStr">
        <is>
          <t>★★★</t>
        </is>
      </c>
      <c r="Q17" s="67" t="inlineStr">
        <is>
          <t>https://www.gla.ac.uk/postgraduate/taught/economics-msc/</t>
        </is>
      </c>
    </row>
    <row r="18" ht="23.25" customHeight="1" s="47">
      <c r="A18" s="67" t="inlineStr">
        <is>
          <t>UK</t>
        </is>
      </c>
      <c r="B18" s="67" t="inlineStr">
        <is>
          <t>Inova</t>
        </is>
      </c>
      <c r="C18" s="67" t="inlineStr">
        <is>
          <t>Glasgow</t>
        </is>
      </c>
      <c r="D18" s="67" t="inlineStr">
        <is>
          <t>MSc Economic Development</t>
        </is>
      </c>
      <c r="E18" s="67" t="inlineStr">
        <is>
          <t>Glasgow</t>
        </is>
      </c>
      <c r="F18" s="67" t="inlineStr">
        <is>
          <t>1 año</t>
        </is>
      </c>
      <c r="G18" s="67" t="inlineStr">
        <is>
          <t>£25,290</t>
        </is>
      </c>
      <c r="H18" s="67" t="inlineStr">
        <is>
          <t>£12,000</t>
        </is>
      </c>
      <c r="I18" s="67" t="inlineStr">
        <is>
          <t>£37,290</t>
        </is>
      </c>
      <c r="J18" s="67" t="inlineStr">
        <is>
          <t>No requerido</t>
        </is>
      </c>
      <c r="K18" s="67" t="inlineStr">
        <is>
          <t>—</t>
        </is>
      </c>
      <c r="L18" s="67" t="inlineStr">
        <is>
          <t>6.5</t>
        </is>
      </c>
      <c r="M18" s="67" t="inlineStr">
        <is>
          <t>Rolling</t>
        </is>
      </c>
      <c r="N18" s="67" t="inlineStr">
        <is>
          <t>ASBS Scholarship £15,000 + EU £5,000</t>
        </is>
      </c>
      <c r="O18" s="67" t="inlineStr">
        <is>
          <t>★★</t>
        </is>
      </c>
      <c r="P18" s="67" t="inlineStr">
        <is>
          <t>★★★★★</t>
        </is>
      </c>
      <c r="Q18" s="67" t="inlineStr">
        <is>
          <t>https://www.gla.ac.uk/postgraduate/taught/economicdevelopment/</t>
        </is>
      </c>
    </row>
    <row r="19" ht="34.5" customHeight="1" s="47">
      <c r="A19" s="67" t="inlineStr">
        <is>
          <t>UK</t>
        </is>
      </c>
      <c r="B19" s="67" t="inlineStr">
        <is>
          <t>Inova</t>
        </is>
      </c>
      <c r="C19" s="67" t="inlineStr">
        <is>
          <t>Glasgow</t>
        </is>
      </c>
      <c r="D19" s="67" t="inlineStr">
        <is>
          <t>MSc Economics, Intl Banking &amp; Finance</t>
        </is>
      </c>
      <c r="E19" s="67" t="inlineStr">
        <is>
          <t>Glasgow</t>
        </is>
      </c>
      <c r="F19" s="67" t="inlineStr">
        <is>
          <t>1 año</t>
        </is>
      </c>
      <c r="G19" s="67" t="inlineStr">
        <is>
          <t>£33,450</t>
        </is>
      </c>
      <c r="H19" s="67" t="inlineStr">
        <is>
          <t>£12,000</t>
        </is>
      </c>
      <c r="I19" s="67" t="inlineStr">
        <is>
          <t>£45,450</t>
        </is>
      </c>
      <c r="J19" s="67" t="inlineStr">
        <is>
          <t>No requerido</t>
        </is>
      </c>
      <c r="K19" s="67" t="inlineStr">
        <is>
          <t>—</t>
        </is>
      </c>
      <c r="L19" s="67" t="inlineStr">
        <is>
          <t>6.5</t>
        </is>
      </c>
      <c r="M19" s="67" t="inlineStr">
        <is>
          <t>Rolling</t>
        </is>
      </c>
      <c r="N19" s="67" t="inlineStr">
        <is>
          <t>ASBS Scholarship £15,000 + EU £5,000</t>
        </is>
      </c>
      <c r="O19" s="67" t="inlineStr">
        <is>
          <t>★★★★★</t>
        </is>
      </c>
      <c r="P19" s="67" t="inlineStr">
        <is>
          <t>★★</t>
        </is>
      </c>
      <c r="Q19" s="67" t="inlineStr">
        <is>
          <t>https://www.gla.ac.uk/postgraduate/taught/economicsinternationalbankingfinance/</t>
        </is>
      </c>
    </row>
    <row r="20" ht="34.5" customHeight="1" s="47">
      <c r="A20" s="67" t="inlineStr">
        <is>
          <t>UK</t>
        </is>
      </c>
      <c r="B20" s="67" t="inlineStr">
        <is>
          <t>Inova</t>
        </is>
      </c>
      <c r="C20" s="67" t="inlineStr">
        <is>
          <t>Bath</t>
        </is>
      </c>
      <c r="D20" s="67" t="inlineStr">
        <is>
          <t>MSc Economics</t>
        </is>
      </c>
      <c r="E20" s="67" t="inlineStr">
        <is>
          <t>Bath</t>
        </is>
      </c>
      <c r="F20" s="67" t="inlineStr">
        <is>
          <t>1 año</t>
        </is>
      </c>
      <c r="G20" s="67" t="inlineStr">
        <is>
          <t>£28,800</t>
        </is>
      </c>
      <c r="H20" s="67" t="inlineStr">
        <is>
          <t>£15,600</t>
        </is>
      </c>
      <c r="I20" s="67" t="inlineStr">
        <is>
          <t>£44,400</t>
        </is>
      </c>
      <c r="J20" s="67" t="inlineStr">
        <is>
          <t>No requerido</t>
        </is>
      </c>
      <c r="K20" s="67" t="inlineStr">
        <is>
          <t>—</t>
        </is>
      </c>
      <c r="L20" s="67" t="inlineStr">
        <is>
          <t>6.5</t>
        </is>
      </c>
      <c r="M20" s="67" t="inlineStr">
        <is>
          <t>12/06/2026</t>
        </is>
      </c>
      <c r="N20" s="67" t="inlineStr">
        <is>
          <t>Bath Global Excellence £10,000 + Merit Award £5,000</t>
        </is>
      </c>
      <c r="O20" s="67" t="inlineStr">
        <is>
          <t>★★★</t>
        </is>
      </c>
      <c r="P20" s="67" t="inlineStr">
        <is>
          <t>★★★</t>
        </is>
      </c>
      <c r="Q20" s="67" t="inlineStr">
        <is>
          <t>https://www.bath.ac.uk/courses/postgraduate-2026/taught-postgraduate-courses/msc-economics-full-time/</t>
        </is>
      </c>
    </row>
    <row r="21" ht="23.25" customHeight="1" s="47">
      <c r="A21" s="67" t="inlineStr">
        <is>
          <t>UK</t>
        </is>
      </c>
      <c r="B21" s="67" t="inlineStr">
        <is>
          <t>Inova</t>
        </is>
      </c>
      <c r="C21" s="67" t="inlineStr">
        <is>
          <t>Bath</t>
        </is>
      </c>
      <c r="D21" s="67" t="inlineStr">
        <is>
          <t>MSc Economics &amp; Finance</t>
        </is>
      </c>
      <c r="E21" s="67" t="inlineStr">
        <is>
          <t>Bath</t>
        </is>
      </c>
      <c r="F21" s="67" t="inlineStr">
        <is>
          <t>1 año</t>
        </is>
      </c>
      <c r="G21" s="67" t="inlineStr">
        <is>
          <t>£28,800</t>
        </is>
      </c>
      <c r="H21" s="67" t="inlineStr">
        <is>
          <t>£15,600</t>
        </is>
      </c>
      <c r="I21" s="67" t="inlineStr">
        <is>
          <t>£44,400</t>
        </is>
      </c>
      <c r="J21" s="67" t="inlineStr">
        <is>
          <t>No requerido</t>
        </is>
      </c>
      <c r="K21" s="67" t="inlineStr">
        <is>
          <t>—</t>
        </is>
      </c>
      <c r="L21" s="67" t="inlineStr">
        <is>
          <t>6.5</t>
        </is>
      </c>
      <c r="M21" s="67" t="inlineStr">
        <is>
          <t>12/06/2026</t>
        </is>
      </c>
      <c r="N21" s="67" t="inlineStr">
        <is>
          <t>Global Excellence £10,000 + Merit £5,000</t>
        </is>
      </c>
      <c r="O21" s="67" t="inlineStr">
        <is>
          <t>★★★★</t>
        </is>
      </c>
      <c r="P21" s="67" t="inlineStr">
        <is>
          <t>★★</t>
        </is>
      </c>
      <c r="Q21" s="67" t="inlineStr">
        <is>
          <t>https://www.bath.ac.uk/courses/postgraduate-2026/</t>
        </is>
      </c>
    </row>
    <row r="22" ht="45.75" customHeight="1" s="47">
      <c r="A22" s="67" t="inlineStr">
        <is>
          <t>UK</t>
        </is>
      </c>
      <c r="B22" s="67" t="inlineStr">
        <is>
          <t>Inova</t>
        </is>
      </c>
      <c r="C22" s="67" t="inlineStr">
        <is>
          <t>Bath</t>
        </is>
      </c>
      <c r="D22" s="67" t="inlineStr">
        <is>
          <t>MSc Intl Development with Economics</t>
        </is>
      </c>
      <c r="E22" s="67" t="inlineStr">
        <is>
          <t>Bath</t>
        </is>
      </c>
      <c r="F22" s="67" t="inlineStr">
        <is>
          <t>1 año</t>
        </is>
      </c>
      <c r="G22" s="67" t="inlineStr">
        <is>
          <t>£28,800</t>
        </is>
      </c>
      <c r="H22" s="67" t="inlineStr">
        <is>
          <t>£15,600</t>
        </is>
      </c>
      <c r="I22" s="67" t="inlineStr">
        <is>
          <t>£44,400</t>
        </is>
      </c>
      <c r="J22" s="67" t="inlineStr">
        <is>
          <t>No requerido</t>
        </is>
      </c>
      <c r="K22" s="67" t="inlineStr">
        <is>
          <t>—</t>
        </is>
      </c>
      <c r="L22" s="67" t="inlineStr">
        <is>
          <t>6.5</t>
        </is>
      </c>
      <c r="M22" s="67" t="inlineStr">
        <is>
          <t>12/06/2026</t>
        </is>
      </c>
      <c r="N22" s="67" t="inlineStr">
        <is>
          <t>Global Excellence £10,000</t>
        </is>
      </c>
      <c r="O22" s="67" t="inlineStr">
        <is>
          <t>★★</t>
        </is>
      </c>
      <c r="P22" s="67" t="inlineStr">
        <is>
          <t>★★★★★</t>
        </is>
      </c>
      <c r="Q22" s="67" t="inlineStr">
        <is>
          <t>https://www.bath.ac.uk/courses/postgraduate-2026/taught-postgraduate-courses/msc-international-development-with-economics-full-time/</t>
        </is>
      </c>
    </row>
    <row r="23" ht="34.5" customHeight="1" s="47">
      <c r="A23" s="67" t="inlineStr">
        <is>
          <t>UK</t>
        </is>
      </c>
      <c r="B23" s="67" t="inlineStr">
        <is>
          <t>Inova</t>
        </is>
      </c>
      <c r="C23" s="67" t="inlineStr">
        <is>
          <t>Birmingham</t>
        </is>
      </c>
      <c r="D23" s="67" t="inlineStr">
        <is>
          <t>MSc Economics</t>
        </is>
      </c>
      <c r="E23" s="67" t="inlineStr">
        <is>
          <t>Birmingham</t>
        </is>
      </c>
      <c r="F23" s="67" t="inlineStr">
        <is>
          <t>1 año</t>
        </is>
      </c>
      <c r="G23" s="67" t="inlineStr">
        <is>
          <t>£31,500</t>
        </is>
      </c>
      <c r="H23" s="67" t="inlineStr">
        <is>
          <t>£12,000</t>
        </is>
      </c>
      <c r="I23" s="67" t="inlineStr">
        <is>
          <t>£43,500</t>
        </is>
      </c>
      <c r="J23" s="67" t="inlineStr">
        <is>
          <t>No requerido</t>
        </is>
      </c>
      <c r="K23" s="67" t="inlineStr">
        <is>
          <t>—</t>
        </is>
      </c>
      <c r="L23" s="67" t="inlineStr">
        <is>
          <t>6.5</t>
        </is>
      </c>
      <c r="M23" s="67" t="inlineStr">
        <is>
          <t>03/07/2026</t>
        </is>
      </c>
      <c r="N23" s="67" t="inlineStr">
        <is>
          <t>BBS Masters Scholarship £5,000 + Chancellor's £6,000 (por país)</t>
        </is>
      </c>
      <c r="O23" s="67" t="inlineStr">
        <is>
          <t>★★★</t>
        </is>
      </c>
      <c r="P23" s="67" t="inlineStr">
        <is>
          <t>★★★★</t>
        </is>
      </c>
      <c r="Q23" s="67" t="inlineStr">
        <is>
          <t>https://www.birmingham.ac.uk/study/postgraduate/subjects/business-and-management-courses/economics-msc</t>
        </is>
      </c>
    </row>
    <row r="24" ht="45.75" customHeight="1" s="47">
      <c r="A24" s="67" t="inlineStr">
        <is>
          <t>UK</t>
        </is>
      </c>
      <c r="B24" s="67" t="inlineStr">
        <is>
          <t>Inova</t>
        </is>
      </c>
      <c r="C24" s="67" t="inlineStr">
        <is>
          <t>Birmingham</t>
        </is>
      </c>
      <c r="D24" s="67" t="inlineStr">
        <is>
          <t>MSc Economics, AI and Data Science</t>
        </is>
      </c>
      <c r="E24" s="67" t="inlineStr">
        <is>
          <t>Birmingham</t>
        </is>
      </c>
      <c r="F24" s="67" t="inlineStr">
        <is>
          <t>1 año</t>
        </is>
      </c>
      <c r="G24" s="67" t="inlineStr">
        <is>
          <t>£31,500</t>
        </is>
      </c>
      <c r="H24" s="67" t="inlineStr">
        <is>
          <t>£12,000</t>
        </is>
      </c>
      <c r="I24" s="67" t="inlineStr">
        <is>
          <t>£43,500</t>
        </is>
      </c>
      <c r="J24" s="67" t="inlineStr">
        <is>
          <t>No requerido</t>
        </is>
      </c>
      <c r="K24" s="67" t="inlineStr">
        <is>
          <t>—</t>
        </is>
      </c>
      <c r="L24" s="67" t="inlineStr">
        <is>
          <t>6.5</t>
        </is>
      </c>
      <c r="M24" s="67" t="inlineStr">
        <is>
          <t>03/07/2026</t>
        </is>
      </c>
      <c r="N24" s="67" t="inlineStr">
        <is>
          <t>BBS Masters £5,000</t>
        </is>
      </c>
      <c r="O24" s="67" t="inlineStr">
        <is>
          <t>★★★</t>
        </is>
      </c>
      <c r="P24" s="67" t="inlineStr">
        <is>
          <t>★★★★</t>
        </is>
      </c>
      <c r="Q24" s="67" t="inlineStr">
        <is>
          <t>https://www.birmingham.ac.uk/study/postgraduate/subjects/business-and-management-courses/economics-ai-and-data-science-msc</t>
        </is>
      </c>
    </row>
    <row r="25" ht="34.5" customHeight="1" s="47">
      <c r="A25" s="67" t="inlineStr">
        <is>
          <t>UK</t>
        </is>
      </c>
      <c r="B25" s="67" t="inlineStr">
        <is>
          <t>Inova</t>
        </is>
      </c>
      <c r="C25" s="67" t="inlineStr">
        <is>
          <t>Essex</t>
        </is>
      </c>
      <c r="D25" s="67" t="inlineStr">
        <is>
          <t>MSc Economics</t>
        </is>
      </c>
      <c r="E25" s="67" t="inlineStr">
        <is>
          <t>Colchester</t>
        </is>
      </c>
      <c r="F25" s="67" t="inlineStr">
        <is>
          <t>1 año</t>
        </is>
      </c>
      <c r="G25" s="67" t="inlineStr">
        <is>
          <t>£24,675</t>
        </is>
      </c>
      <c r="H25" s="67" t="inlineStr">
        <is>
          <t>£12,000</t>
        </is>
      </c>
      <c r="I25" s="67" t="inlineStr">
        <is>
          <t>£36,675</t>
        </is>
      </c>
      <c r="J25" s="67" t="inlineStr">
        <is>
          <t>No requerido</t>
        </is>
      </c>
      <c r="K25" s="67" t="inlineStr">
        <is>
          <t>—</t>
        </is>
      </c>
      <c r="L25" s="67" t="inlineStr">
        <is>
          <t>6.0</t>
        </is>
      </c>
      <c r="M25" s="67" t="inlineStr">
        <is>
          <t>Rolling</t>
        </is>
      </c>
      <c r="N25" s="67" t="inlineStr">
        <is>
          <t>Dept Scholarship £5,000 + Latin American Scholarship £4,000-£5,000</t>
        </is>
      </c>
      <c r="O25" s="67" t="inlineStr">
        <is>
          <t>★★★</t>
        </is>
      </c>
      <c r="P25" s="67" t="inlineStr">
        <is>
          <t>★★★</t>
        </is>
      </c>
      <c r="Q25" s="67" t="inlineStr">
        <is>
          <t>https://www.essex.ac.uk/courses/pg00542/1/msc-economics</t>
        </is>
      </c>
    </row>
    <row r="26" ht="23.25" customHeight="1" s="47">
      <c r="A26" s="67" t="inlineStr">
        <is>
          <t>UK</t>
        </is>
      </c>
      <c r="B26" s="67" t="inlineStr">
        <is>
          <t>Inova</t>
        </is>
      </c>
      <c r="C26" s="67" t="inlineStr">
        <is>
          <t>Essex</t>
        </is>
      </c>
      <c r="D26" s="67" t="inlineStr">
        <is>
          <t>MSc Financial Economics</t>
        </is>
      </c>
      <c r="E26" s="67" t="inlineStr">
        <is>
          <t>Colchester</t>
        </is>
      </c>
      <c r="F26" s="67" t="inlineStr">
        <is>
          <t>1 año</t>
        </is>
      </c>
      <c r="G26" s="67" t="inlineStr">
        <is>
          <t>£24,675</t>
        </is>
      </c>
      <c r="H26" s="67" t="inlineStr">
        <is>
          <t>£12,000</t>
        </is>
      </c>
      <c r="I26" s="67" t="inlineStr">
        <is>
          <t>£36,675</t>
        </is>
      </c>
      <c r="J26" s="67" t="inlineStr">
        <is>
          <t>No requerido</t>
        </is>
      </c>
      <c r="K26" s="67" t="inlineStr">
        <is>
          <t>—</t>
        </is>
      </c>
      <c r="L26" s="67" t="inlineStr">
        <is>
          <t>6.0</t>
        </is>
      </c>
      <c r="M26" s="67" t="inlineStr">
        <is>
          <t>Rolling</t>
        </is>
      </c>
      <c r="N26" s="67" t="inlineStr">
        <is>
          <t>Dept Scholarship £5,000</t>
        </is>
      </c>
      <c r="O26" s="67" t="inlineStr">
        <is>
          <t>★★★★</t>
        </is>
      </c>
      <c r="P26" s="67" t="inlineStr">
        <is>
          <t>★★</t>
        </is>
      </c>
      <c r="Q26" s="67" t="inlineStr">
        <is>
          <t>https://www.essex.ac.uk/courses/pg00586/1/msc-financial-economics</t>
        </is>
      </c>
    </row>
    <row r="27" ht="23.25" customHeight="1" s="47">
      <c r="A27" s="67" t="inlineStr">
        <is>
          <t>UK</t>
        </is>
      </c>
      <c r="B27" s="67" t="inlineStr">
        <is>
          <t>Inova</t>
        </is>
      </c>
      <c r="C27" s="67" t="inlineStr">
        <is>
          <t>Essex</t>
        </is>
      </c>
      <c r="D27" s="67" t="inlineStr">
        <is>
          <t>MSc Financial Econometrics</t>
        </is>
      </c>
      <c r="E27" s="67" t="inlineStr">
        <is>
          <t>Colchester</t>
        </is>
      </c>
      <c r="F27" s="67" t="inlineStr">
        <is>
          <t>1 año</t>
        </is>
      </c>
      <c r="G27" s="67" t="inlineStr">
        <is>
          <t>£24,675</t>
        </is>
      </c>
      <c r="H27" s="67" t="inlineStr">
        <is>
          <t>£12,000</t>
        </is>
      </c>
      <c r="I27" s="67" t="inlineStr">
        <is>
          <t>£36,675</t>
        </is>
      </c>
      <c r="J27" s="67" t="inlineStr">
        <is>
          <t>No requerido</t>
        </is>
      </c>
      <c r="K27" s="67" t="inlineStr">
        <is>
          <t>—</t>
        </is>
      </c>
      <c r="L27" s="67" t="inlineStr">
        <is>
          <t>6.0</t>
        </is>
      </c>
      <c r="M27" s="67" t="inlineStr">
        <is>
          <t>Rolling</t>
        </is>
      </c>
      <c r="N27" s="67" t="inlineStr">
        <is>
          <t>Dept Scholarship £5,000</t>
        </is>
      </c>
      <c r="O27" s="67" t="inlineStr">
        <is>
          <t>★★★</t>
        </is>
      </c>
      <c r="P27" s="67" t="inlineStr">
        <is>
          <t>★★★★★</t>
        </is>
      </c>
      <c r="Q27" s="67" t="inlineStr">
        <is>
          <t>https://www.essex.ac.uk/courses/pg00588/1/msc-financial-econometrics</t>
        </is>
      </c>
    </row>
    <row r="28" ht="23.25" customHeight="1" s="47">
      <c r="A28" s="67" t="inlineStr">
        <is>
          <t>UK</t>
        </is>
      </c>
      <c r="B28" s="67" t="inlineStr">
        <is>
          <t>Inova</t>
        </is>
      </c>
      <c r="C28" s="67" t="inlineStr">
        <is>
          <t>Essex</t>
        </is>
      </c>
      <c r="D28" s="67" t="inlineStr">
        <is>
          <t>MSc Money &amp; Banking</t>
        </is>
      </c>
      <c r="E28" s="67" t="inlineStr">
        <is>
          <t>Colchester</t>
        </is>
      </c>
      <c r="F28" s="67" t="inlineStr">
        <is>
          <t>1 año</t>
        </is>
      </c>
      <c r="G28" s="67" t="inlineStr">
        <is>
          <t>£24,675</t>
        </is>
      </c>
      <c r="H28" s="67" t="inlineStr">
        <is>
          <t>£12,000</t>
        </is>
      </c>
      <c r="I28" s="67" t="inlineStr">
        <is>
          <t>£36,675</t>
        </is>
      </c>
      <c r="J28" s="67" t="inlineStr">
        <is>
          <t>No requerido</t>
        </is>
      </c>
      <c r="K28" s="67" t="inlineStr">
        <is>
          <t>—</t>
        </is>
      </c>
      <c r="L28" s="67" t="inlineStr">
        <is>
          <t>6.0</t>
        </is>
      </c>
      <c r="M28" s="67" t="inlineStr">
        <is>
          <t>Rolling</t>
        </is>
      </c>
      <c r="N28" s="67" t="inlineStr">
        <is>
          <t>Dept Scholarship £5,000</t>
        </is>
      </c>
      <c r="O28" s="67" t="inlineStr">
        <is>
          <t>★★★★★</t>
        </is>
      </c>
      <c r="P28" s="67" t="inlineStr">
        <is>
          <t>★★</t>
        </is>
      </c>
      <c r="Q28" s="67" t="inlineStr">
        <is>
          <t>https://www.essex.ac.uk/courses/pg00584/1/msc-money-and-banking</t>
        </is>
      </c>
    </row>
    <row r="29" ht="34.5" customHeight="1" s="47">
      <c r="A29" s="67" t="inlineStr">
        <is>
          <t>UK</t>
        </is>
      </c>
      <c r="B29" s="67" t="inlineStr">
        <is>
          <t>Inova</t>
        </is>
      </c>
      <c r="C29" s="67" t="inlineStr">
        <is>
          <t>Essex</t>
        </is>
      </c>
      <c r="D29" s="67" t="inlineStr">
        <is>
          <t>MSc Quantitative Intl Development</t>
        </is>
      </c>
      <c r="E29" s="67" t="inlineStr">
        <is>
          <t>Colchester</t>
        </is>
      </c>
      <c r="F29" s="67" t="inlineStr">
        <is>
          <t>1 año</t>
        </is>
      </c>
      <c r="G29" s="67" t="inlineStr">
        <is>
          <t>£24,675</t>
        </is>
      </c>
      <c r="H29" s="67" t="inlineStr">
        <is>
          <t>£12,000</t>
        </is>
      </c>
      <c r="I29" s="67" t="inlineStr">
        <is>
          <t>£36,675</t>
        </is>
      </c>
      <c r="J29" s="67" t="inlineStr">
        <is>
          <t>No requerido</t>
        </is>
      </c>
      <c r="K29" s="67" t="inlineStr">
        <is>
          <t>—</t>
        </is>
      </c>
      <c r="L29" s="67" t="inlineStr">
        <is>
          <t>6.0</t>
        </is>
      </c>
      <c r="M29" s="67" t="inlineStr">
        <is>
          <t>Rolling</t>
        </is>
      </c>
      <c r="N29" s="67" t="inlineStr">
        <is>
          <t>Dept Scholarship £5,000</t>
        </is>
      </c>
      <c r="O29" s="67" t="inlineStr">
        <is>
          <t>★★</t>
        </is>
      </c>
      <c r="P29" s="67" t="inlineStr">
        <is>
          <t>★★★★★</t>
        </is>
      </c>
      <c r="Q29" s="67" t="inlineStr">
        <is>
          <t>https://www.essex.ac.uk/courses/pg01264/1/msc-quantitative-international-development</t>
        </is>
      </c>
    </row>
    <row r="30" ht="23.25" customHeight="1" s="47">
      <c r="A30" s="67" t="inlineStr">
        <is>
          <t>UK</t>
        </is>
      </c>
      <c r="B30" s="67" t="inlineStr">
        <is>
          <t>Inova</t>
        </is>
      </c>
      <c r="C30" s="67" t="inlineStr">
        <is>
          <t>Durham</t>
        </is>
      </c>
      <c r="D30" s="67" t="inlineStr">
        <is>
          <t>MSc Economics</t>
        </is>
      </c>
      <c r="E30" s="67" t="inlineStr">
        <is>
          <t>Durham</t>
        </is>
      </c>
      <c r="F30" s="67" t="inlineStr">
        <is>
          <t>1 año</t>
        </is>
      </c>
      <c r="G30" s="67" t="inlineStr">
        <is>
          <t>£29,500</t>
        </is>
      </c>
      <c r="H30" s="67" t="inlineStr">
        <is>
          <t>£12,000</t>
        </is>
      </c>
      <c r="I30" s="67" t="inlineStr">
        <is>
          <t>£41,500</t>
        </is>
      </c>
      <c r="J30" s="67" t="inlineStr">
        <is>
          <t>No requerido</t>
        </is>
      </c>
      <c r="K30" s="67" t="inlineStr">
        <is>
          <t>—</t>
        </is>
      </c>
      <c r="L30" s="67" t="inlineStr">
        <is>
          <t>7.0</t>
        </is>
      </c>
      <c r="M30" s="67" t="inlineStr">
        <is>
          <t>Rolling</t>
        </is>
      </c>
      <c r="N30" s="67" t="inlineStr">
        <is>
          <t>Durham Business School Masters Scholarship ~£10,000 (31/07/2026)</t>
        </is>
      </c>
      <c r="O30" s="67" t="inlineStr">
        <is>
          <t>★★★★</t>
        </is>
      </c>
      <c r="P30" s="67" t="inlineStr">
        <is>
          <t>★★</t>
        </is>
      </c>
      <c r="Q30" s="67" t="inlineStr">
        <is>
          <t>https://www.durham.ac.uk/business/courses/economics-l1t109/</t>
        </is>
      </c>
    </row>
    <row r="31" ht="34.5" customHeight="1" s="47">
      <c r="A31" s="67" t="inlineStr">
        <is>
          <t>UK</t>
        </is>
      </c>
      <c r="B31" s="67" t="inlineStr">
        <is>
          <t>Inova</t>
        </is>
      </c>
      <c r="C31" s="67" t="inlineStr">
        <is>
          <t>Leeds</t>
        </is>
      </c>
      <c r="D31" s="67" t="inlineStr">
        <is>
          <t>MSc Economics &amp; Finance</t>
        </is>
      </c>
      <c r="E31" s="67" t="inlineStr">
        <is>
          <t>Leeds</t>
        </is>
      </c>
      <c r="F31" s="67" t="inlineStr">
        <is>
          <t>1 año</t>
        </is>
      </c>
      <c r="G31" s="67" t="inlineStr">
        <is>
          <t>£29,750 – £32,000</t>
        </is>
      </c>
      <c r="H31" s="67" t="inlineStr">
        <is>
          <t>£12,500</t>
        </is>
      </c>
      <c r="I31" s="67" t="inlineStr">
        <is>
          <t>£42,250 – £44,500</t>
        </is>
      </c>
      <c r="J31" s="67" t="inlineStr">
        <is>
          <t>No requerido</t>
        </is>
      </c>
      <c r="K31" s="67" t="inlineStr">
        <is>
          <t>—</t>
        </is>
      </c>
      <c r="L31" s="67" t="inlineStr">
        <is>
          <t>6.5</t>
        </is>
      </c>
      <c r="M31" s="67" t="inlineStr">
        <is>
          <t>R2: 15/05/2026 R3: rolling</t>
        </is>
      </c>
      <c r="N31" s="67" t="inlineStr">
        <is>
          <t>50% Business Masters Excellence Scholarship + Intl Excellence £6,000-£16,000</t>
        </is>
      </c>
      <c r="O31" s="67" t="inlineStr">
        <is>
          <t>★★★★</t>
        </is>
      </c>
      <c r="P31" s="67" t="inlineStr">
        <is>
          <t>★★</t>
        </is>
      </c>
      <c r="Q31" s="67" t="inlineStr">
        <is>
          <t>https://courses.leeds.ac.uk/f920/economics-and-finance-msc</t>
        </is>
      </c>
    </row>
    <row r="32" ht="45.75" customHeight="1" s="47">
      <c r="A32" s="67" t="inlineStr">
        <is>
          <t>UK</t>
        </is>
      </c>
      <c r="B32" s="67" t="inlineStr">
        <is>
          <t>Inova</t>
        </is>
      </c>
      <c r="C32" s="67" t="inlineStr">
        <is>
          <t>Newcastle UK</t>
        </is>
      </c>
      <c r="D32" s="67" t="inlineStr">
        <is>
          <t>MSc Economics</t>
        </is>
      </c>
      <c r="E32" s="67" t="inlineStr">
        <is>
          <t>Newcastle</t>
        </is>
      </c>
      <c r="F32" s="67" t="inlineStr">
        <is>
          <t>1 año</t>
        </is>
      </c>
      <c r="G32" s="67" t="inlineStr">
        <is>
          <t>£28,100</t>
        </is>
      </c>
      <c r="H32" s="67" t="inlineStr">
        <is>
          <t>£12,500</t>
        </is>
      </c>
      <c r="I32" s="67" t="inlineStr">
        <is>
          <t>£40,600</t>
        </is>
      </c>
      <c r="J32" s="67" t="inlineStr">
        <is>
          <t>No requerido</t>
        </is>
      </c>
      <c r="K32" s="67" t="inlineStr">
        <is>
          <t>—</t>
        </is>
      </c>
      <c r="L32" s="67" t="inlineStr">
        <is>
          <t>6.5</t>
        </is>
      </c>
      <c r="M32" s="67" t="inlineStr">
        <is>
          <t>Rolling</t>
        </is>
      </c>
      <c r="N32" s="67" t="inlineStr">
        <is>
          <t>Vice-Chancellor's Excellence Scholarship (VCES) hasta 50% tuition + EU 25% (por ciudadanía española)</t>
        </is>
      </c>
      <c r="O32" s="67" t="inlineStr">
        <is>
          <t>★★★</t>
        </is>
      </c>
      <c r="P32" s="67" t="inlineStr">
        <is>
          <t>★★</t>
        </is>
      </c>
      <c r="Q32" s="67" t="inlineStr">
        <is>
          <t>https://www.ncl.ac.uk/postgraduate/degrees/5464f/</t>
        </is>
      </c>
    </row>
    <row r="33" ht="23.25" customHeight="1" s="47">
      <c r="A33" s="67" t="inlineStr">
        <is>
          <t>UK</t>
        </is>
      </c>
      <c r="B33" s="67" t="inlineStr">
        <is>
          <t>Inova</t>
        </is>
      </c>
      <c r="C33" s="67" t="inlineStr">
        <is>
          <t>Newcastle UK</t>
        </is>
      </c>
      <c r="D33" s="67" t="inlineStr">
        <is>
          <t>MSc Economics &amp; Finance</t>
        </is>
      </c>
      <c r="E33" s="67" t="inlineStr">
        <is>
          <t>Newcastle</t>
        </is>
      </c>
      <c r="F33" s="67" t="inlineStr">
        <is>
          <t>1 año</t>
        </is>
      </c>
      <c r="G33" s="67" t="inlineStr">
        <is>
          <t>£28,100</t>
        </is>
      </c>
      <c r="H33" s="67" t="inlineStr">
        <is>
          <t>£12,500</t>
        </is>
      </c>
      <c r="I33" s="67" t="inlineStr">
        <is>
          <t>£40,600</t>
        </is>
      </c>
      <c r="J33" s="67" t="inlineStr">
        <is>
          <t>No requerido</t>
        </is>
      </c>
      <c r="K33" s="67" t="inlineStr">
        <is>
          <t>—</t>
        </is>
      </c>
      <c r="L33" s="67" t="inlineStr">
        <is>
          <t>6.5</t>
        </is>
      </c>
      <c r="M33" s="67" t="inlineStr">
        <is>
          <t>Rolling</t>
        </is>
      </c>
      <c r="N33" s="67" t="inlineStr">
        <is>
          <t>VCES hasta 50% + EU 25%</t>
        </is>
      </c>
      <c r="O33" s="67" t="inlineStr">
        <is>
          <t>★★★★</t>
        </is>
      </c>
      <c r="P33" s="67" t="inlineStr">
        <is>
          <t>★★</t>
        </is>
      </c>
      <c r="Q33" s="67" t="inlineStr">
        <is>
          <t>https://www.ncl.ac.uk/postgraduate/degrees/5466f/</t>
        </is>
      </c>
    </row>
    <row r="34" ht="23.25" customHeight="1" s="47">
      <c r="A34" s="67" t="inlineStr">
        <is>
          <t>UK</t>
        </is>
      </c>
      <c r="B34" s="67" t="inlineStr">
        <is>
          <t>Inova</t>
        </is>
      </c>
      <c r="C34" s="67" t="inlineStr">
        <is>
          <t>Newcastle UK</t>
        </is>
      </c>
      <c r="D34" s="67" t="inlineStr">
        <is>
          <t>MSc Behavioural &amp; Experimental Economics</t>
        </is>
      </c>
      <c r="E34" s="67" t="inlineStr">
        <is>
          <t>Newcastle</t>
        </is>
      </c>
      <c r="F34" s="67" t="inlineStr">
        <is>
          <t>1 año</t>
        </is>
      </c>
      <c r="G34" s="67" t="inlineStr">
        <is>
          <t>£28,100</t>
        </is>
      </c>
      <c r="H34" s="67" t="inlineStr">
        <is>
          <t>£12,500</t>
        </is>
      </c>
      <c r="I34" s="67" t="inlineStr">
        <is>
          <t>£40,600</t>
        </is>
      </c>
      <c r="J34" s="67" t="inlineStr">
        <is>
          <t>No requerido</t>
        </is>
      </c>
      <c r="K34" s="67" t="inlineStr">
        <is>
          <t>—</t>
        </is>
      </c>
      <c r="L34" s="67" t="inlineStr">
        <is>
          <t>6.5</t>
        </is>
      </c>
      <c r="M34" s="67" t="inlineStr">
        <is>
          <t>Rolling</t>
        </is>
      </c>
      <c r="N34" s="67" t="inlineStr">
        <is>
          <t>VCES hasta 50%</t>
        </is>
      </c>
      <c r="O34" s="67" t="inlineStr">
        <is>
          <t>★★</t>
        </is>
      </c>
      <c r="P34" s="67" t="inlineStr">
        <is>
          <t>★★★</t>
        </is>
      </c>
      <c r="Q34" s="67" t="inlineStr">
        <is>
          <t>https://www.ncl.ac.uk/postgraduate/degrees/5465f/</t>
        </is>
      </c>
    </row>
    <row r="35" ht="34.5" customHeight="1" s="47">
      <c r="A35" s="67" t="inlineStr">
        <is>
          <t>UK</t>
        </is>
      </c>
      <c r="B35" s="67" t="inlineStr">
        <is>
          <t>Inova</t>
        </is>
      </c>
      <c r="C35" s="67" t="inlineStr">
        <is>
          <t>Southampton</t>
        </is>
      </c>
      <c r="D35" s="67" t="inlineStr">
        <is>
          <t>MSc Economics</t>
        </is>
      </c>
      <c r="E35" s="67" t="inlineStr">
        <is>
          <t>Southampton</t>
        </is>
      </c>
      <c r="F35" s="67" t="inlineStr">
        <is>
          <t>1 año</t>
        </is>
      </c>
      <c r="G35" s="67" t="inlineStr">
        <is>
          <t>£26,000</t>
        </is>
      </c>
      <c r="H35" s="67" t="inlineStr">
        <is>
          <t>£13,500</t>
        </is>
      </c>
      <c r="I35" s="67" t="inlineStr">
        <is>
          <t>£39,500</t>
        </is>
      </c>
      <c r="J35" s="67" t="inlineStr">
        <is>
          <t>No requerido</t>
        </is>
      </c>
      <c r="K35" s="67" t="inlineStr">
        <is>
          <t>—</t>
        </is>
      </c>
      <c r="L35" s="67" t="inlineStr">
        <is>
          <t>6.5</t>
        </is>
      </c>
      <c r="M35" s="67" t="inlineStr">
        <is>
          <t>Rolling</t>
        </is>
      </c>
      <c r="N35" s="67" t="inlineStr">
        <is>
          <t>Presidential Intl Scholarship: 10×100% fee + 15×£10,000 (deadline 22/04/2026)</t>
        </is>
      </c>
      <c r="O35" s="67" t="inlineStr">
        <is>
          <t>★★★</t>
        </is>
      </c>
      <c r="P35" s="67" t="inlineStr">
        <is>
          <t>★★</t>
        </is>
      </c>
      <c r="Q35" s="67" t="inlineStr">
        <is>
          <t>https://www.southampton.ac.uk/courses/economics-masters-msc</t>
        </is>
      </c>
    </row>
    <row r="36" ht="23.25" customHeight="1" s="47">
      <c r="A36" s="67" t="inlineStr">
        <is>
          <t>UK</t>
        </is>
      </c>
      <c r="B36" s="67" t="inlineStr">
        <is>
          <t>Inova</t>
        </is>
      </c>
      <c r="C36" s="67" t="inlineStr">
        <is>
          <t>Southampton</t>
        </is>
      </c>
      <c r="D36" s="67" t="inlineStr">
        <is>
          <t>MRes Economics (research preparación PhD)</t>
        </is>
      </c>
      <c r="E36" s="67" t="inlineStr">
        <is>
          <t>Southampton</t>
        </is>
      </c>
      <c r="F36" s="67" t="inlineStr">
        <is>
          <t>2 años</t>
        </is>
      </c>
      <c r="G36" s="67" t="inlineStr">
        <is>
          <t>£26,200/año</t>
        </is>
      </c>
      <c r="H36" s="67" t="inlineStr">
        <is>
          <t>£13,500</t>
        </is>
      </c>
      <c r="I36" s="67" t="inlineStr">
        <is>
          <t>£39,700/año</t>
        </is>
      </c>
      <c r="J36" s="67" t="inlineStr">
        <is>
          <t>No requerido</t>
        </is>
      </c>
      <c r="K36" s="67" t="inlineStr">
        <is>
          <t>—</t>
        </is>
      </c>
      <c r="L36" s="67" t="inlineStr">
        <is>
          <t>6.5</t>
        </is>
      </c>
      <c r="M36" s="67" t="inlineStr">
        <is>
          <t>Rolling</t>
        </is>
      </c>
      <c r="N36" s="67" t="inlineStr">
        <is>
          <t>Presidential Intl 100% fee + ESRC NINE DTP</t>
        </is>
      </c>
      <c r="O36" s="67" t="inlineStr">
        <is>
          <t>★★</t>
        </is>
      </c>
      <c r="P36" s="67" t="inlineStr">
        <is>
          <t>★★★</t>
        </is>
      </c>
      <c r="Q36" s="67" t="inlineStr">
        <is>
          <t>https://www.southampton.ac.uk/courses/economics-masters-mres</t>
        </is>
      </c>
    </row>
    <row r="37" ht="23.25" customHeight="1" s="47">
      <c r="A37" s="67" t="inlineStr">
        <is>
          <t>UK</t>
        </is>
      </c>
      <c r="B37" s="67" t="inlineStr">
        <is>
          <t>Inova</t>
        </is>
      </c>
      <c r="C37" s="67" t="inlineStr">
        <is>
          <t>Sheffield</t>
        </is>
      </c>
      <c r="D37" s="67" t="inlineStr">
        <is>
          <t>MSc Economics</t>
        </is>
      </c>
      <c r="E37" s="67" t="inlineStr">
        <is>
          <t>Sheffield</t>
        </is>
      </c>
      <c r="F37" s="67" t="inlineStr">
        <is>
          <t>1 año</t>
        </is>
      </c>
      <c r="G37" s="67" t="inlineStr">
        <is>
          <t>£26,350 (-£3,000 auto)</t>
        </is>
      </c>
      <c r="H37" s="67" t="inlineStr">
        <is>
          <t>£12,000</t>
        </is>
      </c>
      <c r="I37" s="67" t="inlineStr">
        <is>
          <t>£38,350</t>
        </is>
      </c>
      <c r="J37" s="67" t="inlineStr">
        <is>
          <t>No requerido</t>
        </is>
      </c>
      <c r="K37" s="67" t="inlineStr">
        <is>
          <t>—</t>
        </is>
      </c>
      <c r="L37" s="67" t="inlineStr">
        <is>
          <t>6.5</t>
        </is>
      </c>
      <c r="M37" s="67" t="inlineStr">
        <is>
          <t>Rolling</t>
        </is>
      </c>
      <c r="N37" s="67" t="inlineStr">
        <is>
          <t>International PGT Scholarship £3,000 AUTOMÁTICO</t>
        </is>
      </c>
      <c r="O37" s="67" t="inlineStr">
        <is>
          <t>★★★</t>
        </is>
      </c>
      <c r="P37" s="67" t="inlineStr">
        <is>
          <t>★★</t>
        </is>
      </c>
      <c r="Q37" s="67" t="inlineStr">
        <is>
          <t>https://sheffield.ac.uk/postgraduate/taught/courses/2026/economics-msc</t>
        </is>
      </c>
    </row>
    <row r="38" ht="23.25" customHeight="1" s="47">
      <c r="A38" s="67" t="inlineStr">
        <is>
          <t>UK</t>
        </is>
      </c>
      <c r="B38" s="67" t="inlineStr">
        <is>
          <t>Inova</t>
        </is>
      </c>
      <c r="C38" s="67" t="inlineStr">
        <is>
          <t>Exeter</t>
        </is>
      </c>
      <c r="D38" s="67" t="inlineStr">
        <is>
          <t>MSc Financial Economics</t>
        </is>
      </c>
      <c r="E38" s="67" t="inlineStr">
        <is>
          <t>Exeter</t>
        </is>
      </c>
      <c r="F38" s="67" t="inlineStr">
        <is>
          <t>1 año</t>
        </is>
      </c>
      <c r="G38" s="67" t="inlineStr">
        <is>
          <t>£26,900</t>
        </is>
      </c>
      <c r="H38" s="67" t="inlineStr">
        <is>
          <t>£13,500</t>
        </is>
      </c>
      <c r="I38" s="67" t="inlineStr">
        <is>
          <t>£40,400</t>
        </is>
      </c>
      <c r="J38" s="67" t="inlineStr">
        <is>
          <t>No requerido</t>
        </is>
      </c>
      <c r="K38" s="67" t="inlineStr">
        <is>
          <t>—</t>
        </is>
      </c>
      <c r="L38" s="67" t="inlineStr">
        <is>
          <t>6.5</t>
        </is>
      </c>
      <c r="M38" s="67" t="inlineStr">
        <is>
          <t>Rolling</t>
        </is>
      </c>
      <c r="N38" s="67" t="inlineStr">
        <is>
          <t>Global Excellence desde £5,000 (£7M fondo total)</t>
        </is>
      </c>
      <c r="O38" s="67" t="inlineStr">
        <is>
          <t>★★★★</t>
        </is>
      </c>
      <c r="P38" s="67" t="inlineStr">
        <is>
          <t>★★</t>
        </is>
      </c>
      <c r="Q38" s="67" t="inlineStr">
        <is>
          <t>https://www.exeter.ac.uk/masters-degrees/msc-financial-economics/</t>
        </is>
      </c>
    </row>
    <row r="39" ht="23.25" customHeight="1" s="47">
      <c r="A39" s="67" t="inlineStr">
        <is>
          <t>UK</t>
        </is>
      </c>
      <c r="B39" s="67" t="inlineStr">
        <is>
          <t>Inova</t>
        </is>
      </c>
      <c r="C39" s="67" t="inlineStr">
        <is>
          <t>Exeter</t>
        </is>
      </c>
      <c r="D39" s="67" t="inlineStr">
        <is>
          <t>MSc Economics</t>
        </is>
      </c>
      <c r="E39" s="67" t="inlineStr">
        <is>
          <t>Exeter</t>
        </is>
      </c>
      <c r="F39" s="67" t="inlineStr">
        <is>
          <t>1 año</t>
        </is>
      </c>
      <c r="G39" s="67" t="inlineStr">
        <is>
          <t>£26,900</t>
        </is>
      </c>
      <c r="H39" s="67" t="inlineStr">
        <is>
          <t>£13,500</t>
        </is>
      </c>
      <c r="I39" s="67" t="inlineStr">
        <is>
          <t>£40,400</t>
        </is>
      </c>
      <c r="J39" s="67" t="inlineStr">
        <is>
          <t>No requerido</t>
        </is>
      </c>
      <c r="K39" s="67" t="inlineStr">
        <is>
          <t>—</t>
        </is>
      </c>
      <c r="L39" s="67" t="inlineStr">
        <is>
          <t>6.5</t>
        </is>
      </c>
      <c r="M39" s="67" t="inlineStr">
        <is>
          <t>Rolling</t>
        </is>
      </c>
      <c r="N39" s="67" t="inlineStr">
        <is>
          <t>Global Excellence £5,000+</t>
        </is>
      </c>
      <c r="O39" s="67" t="inlineStr">
        <is>
          <t>★★★</t>
        </is>
      </c>
      <c r="P39" s="67" t="inlineStr">
        <is>
          <t>★★★</t>
        </is>
      </c>
      <c r="Q39" s="67" t="inlineStr">
        <is>
          <t>https://www.exeter.ac.uk/masters-degrees/msc-economics/</t>
        </is>
      </c>
    </row>
    <row r="40" ht="34.5" customHeight="1" s="47">
      <c r="A40" s="67" t="inlineStr">
        <is>
          <t>UK</t>
        </is>
      </c>
      <c r="B40" s="67" t="inlineStr">
        <is>
          <t>Inova</t>
        </is>
      </c>
      <c r="C40" s="67" t="inlineStr">
        <is>
          <t>Exeter</t>
        </is>
      </c>
      <c r="D40" s="67" t="inlineStr">
        <is>
          <t>MSc Economics (International Development)</t>
        </is>
      </c>
      <c r="E40" s="67" t="inlineStr">
        <is>
          <t>Exeter</t>
        </is>
      </c>
      <c r="F40" s="67" t="inlineStr">
        <is>
          <t>1 año</t>
        </is>
      </c>
      <c r="G40" s="67" t="inlineStr">
        <is>
          <t>£26,900</t>
        </is>
      </c>
      <c r="H40" s="67" t="inlineStr">
        <is>
          <t>£13,500</t>
        </is>
      </c>
      <c r="I40" s="67" t="inlineStr">
        <is>
          <t>£40,400</t>
        </is>
      </c>
      <c r="J40" s="67" t="inlineStr">
        <is>
          <t>No requerido</t>
        </is>
      </c>
      <c r="K40" s="67" t="inlineStr">
        <is>
          <t>—</t>
        </is>
      </c>
      <c r="L40" s="67" t="inlineStr">
        <is>
          <t>6.5</t>
        </is>
      </c>
      <c r="M40" s="67" t="inlineStr">
        <is>
          <t>Rolling</t>
        </is>
      </c>
      <c r="N40" s="67" t="inlineStr">
        <is>
          <t>Global Excellence £5,000+</t>
        </is>
      </c>
      <c r="O40" s="67" t="inlineStr">
        <is>
          <t>★★</t>
        </is>
      </c>
      <c r="P40" s="67" t="inlineStr">
        <is>
          <t>★★★★★</t>
        </is>
      </c>
      <c r="Q40" s="67" t="inlineStr">
        <is>
          <t>https://www.exeter.ac.uk/masters-degrees/msc-economics-international-development/</t>
        </is>
      </c>
    </row>
    <row r="41" ht="23.25" customHeight="1" s="47">
      <c r="A41" s="67" t="inlineStr">
        <is>
          <t>UK</t>
        </is>
      </c>
      <c r="B41" s="67" t="inlineStr">
        <is>
          <t>Inova</t>
        </is>
      </c>
      <c r="C41" s="67" t="inlineStr">
        <is>
          <t>East Anglia (UEA)</t>
        </is>
      </c>
      <c r="D41" s="67" t="inlineStr">
        <is>
          <t>MSc Economics</t>
        </is>
      </c>
      <c r="E41" s="67" t="inlineStr">
        <is>
          <t>Norwich</t>
        </is>
      </c>
      <c r="F41" s="67" t="inlineStr">
        <is>
          <t>1 año</t>
        </is>
      </c>
      <c r="G41" s="67" t="inlineStr">
        <is>
          <t>£23,500</t>
        </is>
      </c>
      <c r="H41" s="67" t="inlineStr">
        <is>
          <t>£11,000</t>
        </is>
      </c>
      <c r="I41" s="67" t="inlineStr">
        <is>
          <t>£34,500</t>
        </is>
      </c>
      <c r="J41" s="67" t="inlineStr">
        <is>
          <t>No requerido</t>
        </is>
      </c>
      <c r="K41" s="67" t="inlineStr">
        <is>
          <t>—</t>
        </is>
      </c>
      <c r="L41" s="67" t="inlineStr">
        <is>
          <t>6.5</t>
        </is>
      </c>
      <c r="M41" s="67" t="inlineStr">
        <is>
          <t>Rolling</t>
        </is>
      </c>
      <c r="N41" s="67" t="inlineStr">
        <is>
          <t>UEA International Scholarships (varias)</t>
        </is>
      </c>
      <c r="O41" s="67" t="inlineStr">
        <is>
          <t>★★</t>
        </is>
      </c>
      <c r="P41" s="67" t="inlineStr">
        <is>
          <t>★★</t>
        </is>
      </c>
      <c r="Q41" s="67" t="inlineStr">
        <is>
          <t>https://www.uea.ac.uk/course/economics-msc</t>
        </is>
      </c>
    </row>
    <row r="42" ht="34.5" customHeight="1" s="47">
      <c r="A42" s="67" t="inlineStr">
        <is>
          <t>UK</t>
        </is>
      </c>
      <c r="B42" s="67" t="inlineStr">
        <is>
          <t>Inova</t>
        </is>
      </c>
      <c r="C42" s="67" t="inlineStr">
        <is>
          <t>Cardiff</t>
        </is>
      </c>
      <c r="D42" s="67" t="inlineStr">
        <is>
          <t>MSc Economics</t>
        </is>
      </c>
      <c r="E42" s="67" t="inlineStr">
        <is>
          <t>Cardiff</t>
        </is>
      </c>
      <c r="F42" s="67" t="inlineStr">
        <is>
          <t>1 año</t>
        </is>
      </c>
      <c r="G42" s="67" t="inlineStr">
        <is>
          <t>£26,000</t>
        </is>
      </c>
      <c r="H42" s="67" t="inlineStr">
        <is>
          <t>£12,000</t>
        </is>
      </c>
      <c r="I42" s="67" t="inlineStr">
        <is>
          <t>£38,000</t>
        </is>
      </c>
      <c r="J42" s="67" t="inlineStr">
        <is>
          <t>No requerido</t>
        </is>
      </c>
      <c r="K42" s="67" t="inlineStr">
        <is>
          <t>—</t>
        </is>
      </c>
      <c r="L42" s="67" t="inlineStr">
        <is>
          <t>6.5</t>
        </is>
      </c>
      <c r="M42" s="67" t="inlineStr">
        <is>
          <t>Rolling</t>
        </is>
      </c>
      <c r="N42" s="67" t="inlineStr">
        <is>
          <t>Cardiff Business School scholarships</t>
        </is>
      </c>
      <c r="O42" s="67" t="inlineStr">
        <is>
          <t>★★</t>
        </is>
      </c>
      <c r="P42" s="67" t="inlineStr">
        <is>
          <t>★★</t>
        </is>
      </c>
      <c r="Q42" s="67" t="inlineStr">
        <is>
          <t>https://www.cardiff.ac.uk/study/postgraduate/taught/courses/course/economics-msc</t>
        </is>
      </c>
    </row>
    <row r="43" ht="45.75" customHeight="1" s="47">
      <c r="A43" s="67" t="inlineStr">
        <is>
          <t>UK</t>
        </is>
      </c>
      <c r="B43" s="67" t="inlineStr">
        <is>
          <t>Inova</t>
        </is>
      </c>
      <c r="C43" s="67" t="inlineStr">
        <is>
          <t>Cardiff</t>
        </is>
      </c>
      <c r="D43" s="67" t="inlineStr">
        <is>
          <t>MSc Intl Economics, Banking &amp; Finance</t>
        </is>
      </c>
      <c r="E43" s="67" t="inlineStr">
        <is>
          <t>Cardiff</t>
        </is>
      </c>
      <c r="F43" s="67" t="inlineStr">
        <is>
          <t>1 año</t>
        </is>
      </c>
      <c r="G43" s="67" t="inlineStr">
        <is>
          <t>£26,000</t>
        </is>
      </c>
      <c r="H43" s="67" t="inlineStr">
        <is>
          <t>£12,000</t>
        </is>
      </c>
      <c r="I43" s="67" t="inlineStr">
        <is>
          <t>£38,000</t>
        </is>
      </c>
      <c r="J43" s="67" t="inlineStr">
        <is>
          <t>No requerido</t>
        </is>
      </c>
      <c r="K43" s="67" t="inlineStr">
        <is>
          <t>—</t>
        </is>
      </c>
      <c r="L43" s="67" t="inlineStr">
        <is>
          <t>6.5</t>
        </is>
      </c>
      <c r="M43" s="67" t="inlineStr">
        <is>
          <t>Rolling</t>
        </is>
      </c>
      <c r="N43" s="67" t="inlineStr">
        <is>
          <t>BBS scholarships</t>
        </is>
      </c>
      <c r="O43" s="67" t="inlineStr">
        <is>
          <t>★★★★</t>
        </is>
      </c>
      <c r="P43" s="67" t="inlineStr">
        <is>
          <t>★★</t>
        </is>
      </c>
      <c r="Q43" s="67" t="inlineStr">
        <is>
          <t>https://www.cardiff.ac.uk/study/postgraduate/taught/courses/course/international-economics-banking-and-finance-msc</t>
        </is>
      </c>
    </row>
    <row r="44" ht="34.5" customHeight="1" s="47">
      <c r="A44" s="67" t="inlineStr">
        <is>
          <t>UK</t>
        </is>
      </c>
      <c r="B44" s="67" t="inlineStr">
        <is>
          <t>Inova</t>
        </is>
      </c>
      <c r="C44" s="67" t="inlineStr">
        <is>
          <t>Royal Holloway</t>
        </is>
      </c>
      <c r="D44" s="67" t="inlineStr">
        <is>
          <t>MSc Economics</t>
        </is>
      </c>
      <c r="E44" s="67" t="inlineStr">
        <is>
          <t>Londres (Egham)</t>
        </is>
      </c>
      <c r="F44" s="67" t="inlineStr">
        <is>
          <t>1 año</t>
        </is>
      </c>
      <c r="G44" s="67" t="inlineStr">
        <is>
          <t>£24,000</t>
        </is>
      </c>
      <c r="H44" s="67" t="inlineStr">
        <is>
          <t>£16,000</t>
        </is>
      </c>
      <c r="I44" s="67" t="inlineStr">
        <is>
          <t>£40,000</t>
        </is>
      </c>
      <c r="J44" s="67" t="inlineStr">
        <is>
          <t>No requerido</t>
        </is>
      </c>
      <c r="K44" s="67" t="inlineStr">
        <is>
          <t>—</t>
        </is>
      </c>
      <c r="L44" s="67" t="inlineStr">
        <is>
          <t>6.5</t>
        </is>
      </c>
      <c r="M44" s="67" t="inlineStr">
        <is>
          <t>Rolling</t>
        </is>
      </c>
      <c r="N44" s="67" t="inlineStr">
        <is>
          <t>Founders Scholarships (consultar web)</t>
        </is>
      </c>
      <c r="O44" s="67" t="inlineStr">
        <is>
          <t>★★</t>
        </is>
      </c>
      <c r="P44" s="67" t="inlineStr">
        <is>
          <t>★★</t>
        </is>
      </c>
      <c r="Q44" s="67" t="inlineStr">
        <is>
          <t>https://www.royalholloway.ac.uk/studying-here/postgraduate/economics/economics-msc/</t>
        </is>
      </c>
    </row>
    <row r="45" ht="34.5" customHeight="1" s="47">
      <c r="A45" s="67" t="inlineStr">
        <is>
          <t>UK</t>
        </is>
      </c>
      <c r="B45" s="67" t="inlineStr">
        <is>
          <t>Inova</t>
        </is>
      </c>
      <c r="C45" s="67" t="inlineStr">
        <is>
          <t>Strathclyde</t>
        </is>
      </c>
      <c r="D45" s="67" t="inlineStr">
        <is>
          <t>MSc Economics &amp; Finance</t>
        </is>
      </c>
      <c r="E45" s="67" t="inlineStr">
        <is>
          <t>Glasgow</t>
        </is>
      </c>
      <c r="F45" s="67" t="inlineStr">
        <is>
          <t>1 año</t>
        </is>
      </c>
      <c r="G45" s="67" t="inlineStr">
        <is>
          <t>£27,000</t>
        </is>
      </c>
      <c r="H45" s="67" t="inlineStr">
        <is>
          <t>£12,000</t>
        </is>
      </c>
      <c r="I45" s="67" t="inlineStr">
        <is>
          <t>£39,000</t>
        </is>
      </c>
      <c r="J45" s="67" t="inlineStr">
        <is>
          <t>No requerido</t>
        </is>
      </c>
      <c r="K45" s="67" t="inlineStr">
        <is>
          <t>—</t>
        </is>
      </c>
      <c r="L45" s="67" t="inlineStr">
        <is>
          <t>6.5</t>
        </is>
      </c>
      <c r="M45" s="67" t="inlineStr">
        <is>
          <t>Rolling</t>
        </is>
      </c>
      <c r="N45" s="67" t="inlineStr">
        <is>
          <t>Strathclyde Business School Dean's Awards</t>
        </is>
      </c>
      <c r="O45" s="67" t="inlineStr">
        <is>
          <t>★★★★</t>
        </is>
      </c>
      <c r="P45" s="67" t="inlineStr">
        <is>
          <t>★★</t>
        </is>
      </c>
      <c r="Q45" s="67" t="inlineStr">
        <is>
          <t>https://www.strath.ac.uk/courses/postgraduatetaught/economicsandfinance/</t>
        </is>
      </c>
    </row>
    <row r="46" ht="23.25" customHeight="1" s="47">
      <c r="A46" s="67" t="inlineStr">
        <is>
          <t>UK</t>
        </is>
      </c>
      <c r="B46" s="67" t="inlineStr">
        <is>
          <t>Inova</t>
        </is>
      </c>
      <c r="C46" s="67" t="inlineStr">
        <is>
          <t>Heriot-Watt</t>
        </is>
      </c>
      <c r="D46" s="67" t="inlineStr">
        <is>
          <t>MSc Economics</t>
        </is>
      </c>
      <c r="E46" s="67" t="inlineStr">
        <is>
          <t>Edinburgh</t>
        </is>
      </c>
      <c r="F46" s="67" t="inlineStr">
        <is>
          <t>1 año</t>
        </is>
      </c>
      <c r="G46" s="67" t="inlineStr">
        <is>
          <t>£25,000</t>
        </is>
      </c>
      <c r="H46" s="67" t="inlineStr">
        <is>
          <t>£11,000</t>
        </is>
      </c>
      <c r="I46" s="67" t="inlineStr">
        <is>
          <t>£36,000</t>
        </is>
      </c>
      <c r="J46" s="67" t="inlineStr">
        <is>
          <t>No requerido</t>
        </is>
      </c>
      <c r="K46" s="67" t="inlineStr">
        <is>
          <t>—</t>
        </is>
      </c>
      <c r="L46" s="67" t="inlineStr">
        <is>
          <t>6.5</t>
        </is>
      </c>
      <c r="M46" s="67" t="inlineStr">
        <is>
          <t>Rolling</t>
        </is>
      </c>
      <c r="N46" s="67" t="inlineStr">
        <is>
          <t>Heriot-Watt Int'l Scholarship £2,500</t>
        </is>
      </c>
      <c r="O46" s="67" t="inlineStr">
        <is>
          <t>★★</t>
        </is>
      </c>
      <c r="P46" s="67" t="inlineStr">
        <is>
          <t>★★</t>
        </is>
      </c>
      <c r="Q46" s="67" t="inlineStr">
        <is>
          <t>https://www.hw.ac.uk/study/uk/postgraduate/economics.htm</t>
        </is>
      </c>
    </row>
    <row r="47" ht="34.5" customHeight="1" s="47">
      <c r="A47" s="67" t="inlineStr">
        <is>
          <t>UK</t>
        </is>
      </c>
      <c r="B47" s="67" t="inlineStr">
        <is>
          <t>Inova</t>
        </is>
      </c>
      <c r="C47" s="67" t="inlineStr">
        <is>
          <t>Liverpool</t>
        </is>
      </c>
      <c r="D47" s="67" t="inlineStr">
        <is>
          <t>MSc Money, Banking &amp; Finance</t>
        </is>
      </c>
      <c r="E47" s="67" t="inlineStr">
        <is>
          <t>Liverpool</t>
        </is>
      </c>
      <c r="F47" s="67" t="inlineStr">
        <is>
          <t>1 año</t>
        </is>
      </c>
      <c r="G47" s="67" t="inlineStr">
        <is>
          <t>£26,000</t>
        </is>
      </c>
      <c r="H47" s="67" t="inlineStr">
        <is>
          <t>£11,500</t>
        </is>
      </c>
      <c r="I47" s="67" t="inlineStr">
        <is>
          <t>£37,500</t>
        </is>
      </c>
      <c r="J47" s="67" t="inlineStr">
        <is>
          <t>No requerido</t>
        </is>
      </c>
      <c r="K47" s="67" t="inlineStr">
        <is>
          <t>—</t>
        </is>
      </c>
      <c r="L47" s="67" t="inlineStr">
        <is>
          <t>6.5</t>
        </is>
      </c>
      <c r="M47" s="67" t="inlineStr">
        <is>
          <t>Rolling</t>
        </is>
      </c>
      <c r="N47" s="67" t="inlineStr">
        <is>
          <t>Liverpool Int'l Excellence Scholarships</t>
        </is>
      </c>
      <c r="O47" s="67" t="inlineStr">
        <is>
          <t>★★★★</t>
        </is>
      </c>
      <c r="P47" s="67" t="inlineStr">
        <is>
          <t>★★</t>
        </is>
      </c>
      <c r="Q47" s="67" t="inlineStr">
        <is>
          <t>https://www.liverpool.ac.uk/study/postgraduate-taught/taught/money-banking-and-finance-msc/</t>
        </is>
      </c>
    </row>
    <row r="48" ht="45.75" customHeight="1" s="47">
      <c r="A48" s="67" t="inlineStr">
        <is>
          <t>UK</t>
        </is>
      </c>
      <c r="B48" s="67" t="inlineStr">
        <is>
          <t>Inova</t>
        </is>
      </c>
      <c r="C48" s="67" t="inlineStr">
        <is>
          <t>Aberdeen</t>
        </is>
      </c>
      <c r="D48" s="67" t="inlineStr">
        <is>
          <t>MSc Finance &amp; Investment Management</t>
        </is>
      </c>
      <c r="E48" s="67" t="inlineStr">
        <is>
          <t>Aberdeen</t>
        </is>
      </c>
      <c r="F48" s="67" t="inlineStr">
        <is>
          <t>1 año</t>
        </is>
      </c>
      <c r="G48" s="67" t="inlineStr">
        <is>
          <t>£24,500</t>
        </is>
      </c>
      <c r="H48" s="67" t="inlineStr">
        <is>
          <t>£11,000</t>
        </is>
      </c>
      <c r="I48" s="67" t="inlineStr">
        <is>
          <t>£35,500</t>
        </is>
      </c>
      <c r="J48" s="67" t="inlineStr">
        <is>
          <t>No requerido</t>
        </is>
      </c>
      <c r="K48" s="67" t="inlineStr">
        <is>
          <t>—</t>
        </is>
      </c>
      <c r="L48" s="67" t="inlineStr">
        <is>
          <t>6.5</t>
        </is>
      </c>
      <c r="M48" s="67" t="inlineStr">
        <is>
          <t>Rolling</t>
        </is>
      </c>
      <c r="N48" s="67" t="inlineStr">
        <is>
          <t>Aberdeen Int'l Masters scholarships (consultar)</t>
        </is>
      </c>
      <c r="O48" s="67" t="inlineStr">
        <is>
          <t>★★★</t>
        </is>
      </c>
      <c r="P48" s="67" t="inlineStr">
        <is>
          <t>★★</t>
        </is>
      </c>
      <c r="Q48" s="67" t="inlineStr">
        <is>
          <t>https://www.abdn.ac.uk/study/postgraduate-taught/degree-programmes/1036/finance-and-investment-management/</t>
        </is>
      </c>
    </row>
    <row r="49" ht="23.25" customHeight="1" s="47">
      <c r="A49" s="67" t="inlineStr">
        <is>
          <t>UK</t>
        </is>
      </c>
      <c r="B49" s="67" t="inlineStr">
        <is>
          <t>Inova</t>
        </is>
      </c>
      <c r="C49" s="67" t="inlineStr">
        <is>
          <t>Stirling</t>
        </is>
      </c>
      <c r="D49" s="67" t="inlineStr">
        <is>
          <t>MSc Economics</t>
        </is>
      </c>
      <c r="E49" s="67" t="inlineStr">
        <is>
          <t>Stirling</t>
        </is>
      </c>
      <c r="F49" s="67" t="inlineStr">
        <is>
          <t>1 año</t>
        </is>
      </c>
      <c r="G49" s="67" t="inlineStr">
        <is>
          <t>£21,000</t>
        </is>
      </c>
      <c r="H49" s="67" t="inlineStr">
        <is>
          <t>£10,000</t>
        </is>
      </c>
      <c r="I49" s="67" t="inlineStr">
        <is>
          <t>£31,000</t>
        </is>
      </c>
      <c r="J49" s="67" t="inlineStr">
        <is>
          <t>No requerido</t>
        </is>
      </c>
      <c r="K49" s="67" t="inlineStr">
        <is>
          <t>—</t>
        </is>
      </c>
      <c r="L49" s="67" t="inlineStr">
        <is>
          <t>6.5</t>
        </is>
      </c>
      <c r="M49" s="67" t="inlineStr">
        <is>
          <t>Rolling</t>
        </is>
      </c>
      <c r="N49" s="67" t="inlineStr">
        <is>
          <t>Stirling Int'l Scholarships</t>
        </is>
      </c>
      <c r="O49" s="67" t="inlineStr">
        <is>
          <t>★★</t>
        </is>
      </c>
      <c r="P49" s="67" t="inlineStr">
        <is>
          <t>★★</t>
        </is>
      </c>
      <c r="Q49" s="67" t="inlineStr">
        <is>
          <t>https://www.stir.ac.uk/courses/pg-taught/economics-msc/</t>
        </is>
      </c>
    </row>
    <row r="50" ht="34.5" customHeight="1" s="47">
      <c r="A50" s="67" t="inlineStr">
        <is>
          <t>Países Bajos</t>
        </is>
      </c>
      <c r="B50" s="67" t="inlineStr">
        <is>
          <t>Inova</t>
        </is>
      </c>
      <c r="C50" s="67" t="inlineStr">
        <is>
          <t>Groningen (RUG)</t>
        </is>
      </c>
      <c r="D50" s="67" t="inlineStr">
        <is>
          <t>MSc Economics (focus area: Monetary Policy)</t>
        </is>
      </c>
      <c r="E50" s="67" t="inlineStr">
        <is>
          <t>Groningen</t>
        </is>
      </c>
      <c r="F50" s="67" t="inlineStr">
        <is>
          <t>1 año</t>
        </is>
      </c>
      <c r="G50" s="67" t="inlineStr">
        <is>
          <t>€2,694</t>
        </is>
      </c>
      <c r="H50" s="67" t="inlineStr">
        <is>
          <t>€12,000</t>
        </is>
      </c>
      <c r="I50" s="67" t="inlineStr">
        <is>
          <t>€14,694</t>
        </is>
      </c>
      <c r="J50" s="67" t="inlineStr">
        <is>
          <t>No — requisito GMAT/GRE eliminado desde intake 2025 (verificado)</t>
        </is>
      </c>
      <c r="K50" s="67" t="inlineStr">
        <is>
          <t>—</t>
        </is>
      </c>
      <c r="L50" s="67" t="inlineStr">
        <is>
          <t>6.5 / TOEFL 90</t>
        </is>
      </c>
      <c r="M50" s="67" t="inlineStr">
        <is>
          <t>01/05/2026</t>
        </is>
      </c>
      <c r="N50" s="67" t="inlineStr">
        <is>
          <t>NL Scholarship €5,000 Eric Bleumink (ambos solo non-EU — NO aplica)</t>
        </is>
      </c>
      <c r="O50" s="67" t="inlineStr">
        <is>
          <t>★★★★★</t>
        </is>
      </c>
      <c r="P50" s="67" t="inlineStr">
        <is>
          <t>★★★</t>
        </is>
      </c>
      <c r="Q50" s="67" t="inlineStr">
        <is>
          <t>https://www.rug.nl/masters/economics/</t>
        </is>
      </c>
    </row>
    <row r="51" ht="23.25" customHeight="1" s="47">
      <c r="A51" s="67" t="inlineStr">
        <is>
          <t>Países Bajos</t>
        </is>
      </c>
      <c r="B51" s="67" t="inlineStr">
        <is>
          <t>Inova</t>
        </is>
      </c>
      <c r="C51" s="67" t="inlineStr">
        <is>
          <t>Groningen (RUG)</t>
        </is>
      </c>
      <c r="D51" s="67" t="inlineStr">
        <is>
          <t>MSc International Economics &amp; Sustainable Development</t>
        </is>
      </c>
      <c r="E51" s="67" t="inlineStr">
        <is>
          <t>Groningen</t>
        </is>
      </c>
      <c r="F51" s="67" t="inlineStr">
        <is>
          <t>1 año</t>
        </is>
      </c>
      <c r="G51" s="67" t="inlineStr">
        <is>
          <t>€2,694</t>
        </is>
      </c>
      <c r="H51" s="67" t="inlineStr">
        <is>
          <t>€12,000</t>
        </is>
      </c>
      <c r="I51" s="67" t="inlineStr">
        <is>
          <t>€14,694</t>
        </is>
      </c>
      <c r="J51" s="67" t="inlineStr">
        <is>
          <t>No — requisito GMAT/GRE eliminado desde intake 2025 (verificado)</t>
        </is>
      </c>
      <c r="K51" s="67" t="inlineStr">
        <is>
          <t>—</t>
        </is>
      </c>
      <c r="L51" s="67" t="inlineStr">
        <is>
          <t>6.5 / TOEFL 90</t>
        </is>
      </c>
      <c r="M51" s="67" t="inlineStr">
        <is>
          <t>01/05/2026</t>
        </is>
      </c>
      <c r="N51" s="67" t="inlineStr">
        <is>
          <t>Becas solo non-EU — NO aplican</t>
        </is>
      </c>
      <c r="O51" s="67" t="inlineStr">
        <is>
          <t>★★★</t>
        </is>
      </c>
      <c r="P51" s="67" t="inlineStr">
        <is>
          <t>★★★★★</t>
        </is>
      </c>
      <c r="Q51" s="67" t="inlineStr">
        <is>
          <t>https://www.rug.nl/masters/international-economics-and-sustainable-development/</t>
        </is>
      </c>
    </row>
    <row r="52" ht="34.5" customHeight="1" s="47">
      <c r="A52" s="67" t="inlineStr">
        <is>
          <t>Países Bajos</t>
        </is>
      </c>
      <c r="B52" s="67" t="inlineStr">
        <is>
          <t>Inova</t>
        </is>
      </c>
      <c r="C52" s="67" t="inlineStr">
        <is>
          <t>Groningen (RUG)</t>
        </is>
      </c>
      <c r="D52" s="67" t="inlineStr">
        <is>
          <t>MSc Econometrics, OR &amp; Actuarial Studies (perfil Econometrics)</t>
        </is>
      </c>
      <c r="E52" s="67" t="inlineStr">
        <is>
          <t>Groningen</t>
        </is>
      </c>
      <c r="F52" s="67" t="inlineStr">
        <is>
          <t>1 año</t>
        </is>
      </c>
      <c r="G52" s="67" t="inlineStr">
        <is>
          <t>€2,694</t>
        </is>
      </c>
      <c r="H52" s="67" t="inlineStr">
        <is>
          <t>€12,000</t>
        </is>
      </c>
      <c r="I52" s="67" t="inlineStr">
        <is>
          <t>€14,694</t>
        </is>
      </c>
      <c r="J52" s="67" t="inlineStr">
        <is>
          <t>No — requisito GMAT/GRE eliminado desde intake 2025 (verificado)</t>
        </is>
      </c>
      <c r="K52" s="67" t="inlineStr">
        <is>
          <t>—</t>
        </is>
      </c>
      <c r="L52" s="67" t="inlineStr">
        <is>
          <t>6.5 / TOEFL 90</t>
        </is>
      </c>
      <c r="M52" s="67" t="inlineStr">
        <is>
          <t>01/05/2026</t>
        </is>
      </c>
      <c r="N52" s="67" t="inlineStr">
        <is>
          <t>Solo non-EU</t>
        </is>
      </c>
      <c r="O52" s="67" t="inlineStr">
        <is>
          <t>★★★</t>
        </is>
      </c>
      <c r="P52" s="67" t="inlineStr">
        <is>
          <t>★★★★★</t>
        </is>
      </c>
      <c r="Q52" s="67" t="inlineStr">
        <is>
          <t>https://www.rug.nl/masters/econometrics-operations-research-and-actuarial-studies/</t>
        </is>
      </c>
    </row>
    <row r="53" ht="23.25" customHeight="1" s="47">
      <c r="A53" s="67" t="inlineStr">
        <is>
          <t>Países Bajos</t>
        </is>
      </c>
      <c r="B53" s="67" t="inlineStr">
        <is>
          <t>Inova</t>
        </is>
      </c>
      <c r="C53" s="67" t="inlineStr">
        <is>
          <t>Groningen (RUG)</t>
        </is>
      </c>
      <c r="D53" s="67" t="inlineStr">
        <is>
          <t>MSc Finance</t>
        </is>
      </c>
      <c r="E53" s="67" t="inlineStr">
        <is>
          <t>Groningen</t>
        </is>
      </c>
      <c r="F53" s="67" t="inlineStr">
        <is>
          <t>1 año</t>
        </is>
      </c>
      <c r="G53" s="67" t="inlineStr">
        <is>
          <t>€2,694</t>
        </is>
      </c>
      <c r="H53" s="67" t="inlineStr">
        <is>
          <t>€12,000</t>
        </is>
      </c>
      <c r="I53" s="67" t="inlineStr">
        <is>
          <t>€14,694</t>
        </is>
      </c>
      <c r="J53" s="67" t="inlineStr">
        <is>
          <t>No — requisito GMAT/GRE eliminado desde intake 2025 (verificado)</t>
        </is>
      </c>
      <c r="K53" s="67" t="inlineStr">
        <is>
          <t>—</t>
        </is>
      </c>
      <c r="L53" s="67" t="inlineStr">
        <is>
          <t>6.5 / TOEFL 90</t>
        </is>
      </c>
      <c r="M53" s="67" t="inlineStr">
        <is>
          <t>01/05/2026</t>
        </is>
      </c>
      <c r="N53" s="67" t="inlineStr">
        <is>
          <t>Solo non-EU</t>
        </is>
      </c>
      <c r="O53" s="67" t="inlineStr">
        <is>
          <t>★★★★</t>
        </is>
      </c>
      <c r="P53" s="67" t="inlineStr">
        <is>
          <t>★★</t>
        </is>
      </c>
      <c r="Q53" s="67" t="inlineStr">
        <is>
          <t>https://www.rug.nl/masters/finance/</t>
        </is>
      </c>
    </row>
    <row r="54" ht="23.25" customHeight="1" s="47">
      <c r="A54" s="76" t="inlineStr">
        <is>
          <t>Países Bajos</t>
        </is>
      </c>
      <c r="B54" s="76" t="inlineStr">
        <is>
          <t>Inova</t>
        </is>
      </c>
      <c r="C54" s="76" t="inlineStr">
        <is>
          <t>Groningen (RUG)</t>
        </is>
      </c>
      <c r="D54" s="76" t="inlineStr">
        <is>
          <t>Research Master Econ &amp; Business (2 años, PhD-track)</t>
        </is>
      </c>
      <c r="E54" s="76" t="inlineStr">
        <is>
          <t>Groningen</t>
        </is>
      </c>
      <c r="F54" s="76" t="inlineStr">
        <is>
          <t>2 años</t>
        </is>
      </c>
      <c r="G54" s="76" t="inlineStr">
        <is>
          <t>€2,694/año</t>
        </is>
      </c>
      <c r="H54" s="76" t="inlineStr">
        <is>
          <t>€12,000</t>
        </is>
      </c>
      <c r="I54" s="76" t="inlineStr">
        <is>
          <t>€14,694/año</t>
        </is>
      </c>
      <c r="J54" s="77" t="inlineStr">
        <is>
          <t>GMAT/GRE REQUERIDO (título no-NL): GMAT ≥600 admisión directa; 500-599 pasa a comité</t>
        </is>
      </c>
      <c r="K54" s="78" t="inlineStr">
        <is>
          <t>GMAT ≥600 / GRE equiv.</t>
        </is>
      </c>
      <c r="L54" s="76" t="inlineStr">
        <is>
          <t>6.5 / TOEFL 90</t>
        </is>
      </c>
      <c r="M54" s="76" t="inlineStr">
        <is>
          <t>01/02/2026</t>
        </is>
      </c>
      <c r="N54" s="76" t="inlineStr">
        <is>
          <t>Solo non-EU</t>
        </is>
      </c>
      <c r="O54" s="76" t="inlineStr">
        <is>
          <t>★★★★★</t>
        </is>
      </c>
      <c r="P54" s="76" t="inlineStr">
        <is>
          <t>★★★★★</t>
        </is>
      </c>
      <c r="Q54" s="76" t="inlineStr">
        <is>
          <t>https://www.rug.nl/masters/research-master-economics-and-business/</t>
        </is>
      </c>
    </row>
    <row r="55" ht="23.25" customHeight="1" s="47">
      <c r="A55" s="67" t="inlineStr">
        <is>
          <t>Países Bajos</t>
        </is>
      </c>
      <c r="B55" s="67" t="inlineStr">
        <is>
          <t>Inova</t>
        </is>
      </c>
      <c r="C55" s="67" t="inlineStr">
        <is>
          <t>Radboud (Nijmegen)</t>
        </is>
      </c>
      <c r="D55" s="67" t="inlineStr">
        <is>
          <t>MSc Economics (spec. Financial Economics)</t>
        </is>
      </c>
      <c r="E55" s="67" t="inlineStr">
        <is>
          <t>Nijmegen</t>
        </is>
      </c>
      <c r="F55" s="67" t="inlineStr">
        <is>
          <t>1 año</t>
        </is>
      </c>
      <c r="G55" s="67" t="inlineStr">
        <is>
          <t>€2,694</t>
        </is>
      </c>
      <c r="H55" s="67" t="inlineStr">
        <is>
          <t>€11,000</t>
        </is>
      </c>
      <c r="I55" s="67" t="inlineStr">
        <is>
          <t>€13,694</t>
        </is>
      </c>
      <c r="J55" s="67" t="inlineStr">
        <is>
          <t>No requerido</t>
        </is>
      </c>
      <c r="K55" s="67" t="inlineStr">
        <is>
          <t>—</t>
        </is>
      </c>
      <c r="L55" s="67" t="inlineStr">
        <is>
          <t>6.5 / TOEFL 90</t>
        </is>
      </c>
      <c r="M55" s="67" t="inlineStr">
        <is>
          <t>01/07/2026 (rec. 01/05)</t>
        </is>
      </c>
      <c r="N55" s="67" t="inlineStr">
        <is>
          <t>Radboud Scholarship Programme (solo non-EU)</t>
        </is>
      </c>
      <c r="O55" s="67" t="inlineStr">
        <is>
          <t>★★★★★</t>
        </is>
      </c>
      <c r="P55" s="67" t="inlineStr">
        <is>
          <t>★★</t>
        </is>
      </c>
      <c r="Q55" s="67" t="inlineStr">
        <is>
          <t>https://www.ru.nl/en/education/masters/economics</t>
        </is>
      </c>
    </row>
    <row r="56" ht="23.25" customHeight="1" s="47">
      <c r="A56" s="67" t="inlineStr">
        <is>
          <t>Países Bajos</t>
        </is>
      </c>
      <c r="B56" s="67" t="inlineStr">
        <is>
          <t>Inova</t>
        </is>
      </c>
      <c r="C56" s="67" t="inlineStr">
        <is>
          <t>Radboud (Nijmegen)</t>
        </is>
      </c>
      <c r="D56" s="67" t="inlineStr">
        <is>
          <t>MSc Economics (spec. Intl Econ &amp; Development)</t>
        </is>
      </c>
      <c r="E56" s="67" t="inlineStr">
        <is>
          <t>Nijmegen</t>
        </is>
      </c>
      <c r="F56" s="67" t="inlineStr">
        <is>
          <t>1 año</t>
        </is>
      </c>
      <c r="G56" s="67" t="inlineStr">
        <is>
          <t>€2,694</t>
        </is>
      </c>
      <c r="H56" s="67" t="inlineStr">
        <is>
          <t>€11,000</t>
        </is>
      </c>
      <c r="I56" s="67" t="inlineStr">
        <is>
          <t>€13,694</t>
        </is>
      </c>
      <c r="J56" s="67" t="inlineStr">
        <is>
          <t>No requerido</t>
        </is>
      </c>
      <c r="K56" s="67" t="inlineStr">
        <is>
          <t>—</t>
        </is>
      </c>
      <c r="L56" s="67" t="inlineStr">
        <is>
          <t>6.5 / TOEFL 90</t>
        </is>
      </c>
      <c r="M56" s="67" t="inlineStr">
        <is>
          <t>01/07/2026</t>
        </is>
      </c>
      <c r="N56" s="67" t="inlineStr">
        <is>
          <t>Solo non-EU</t>
        </is>
      </c>
      <c r="O56" s="67" t="inlineStr">
        <is>
          <t>★★</t>
        </is>
      </c>
      <c r="P56" s="67" t="inlineStr">
        <is>
          <t>★★★★★</t>
        </is>
      </c>
      <c r="Q56" s="67" t="inlineStr">
        <is>
          <t>https://www.ru.nl/en/education/masters/economics</t>
        </is>
      </c>
    </row>
    <row r="57" ht="23.25" customHeight="1" s="47">
      <c r="A57" s="67" t="inlineStr">
        <is>
          <t>Países Bajos</t>
        </is>
      </c>
      <c r="B57" s="67" t="inlineStr">
        <is>
          <t>Inova</t>
        </is>
      </c>
      <c r="C57" s="67" t="inlineStr">
        <is>
          <t>Radboud (Nijmegen)</t>
        </is>
      </c>
      <c r="D57" s="67" t="inlineStr">
        <is>
          <t>MSc Economics (spec. Economics, Behaviour &amp; Policy)</t>
        </is>
      </c>
      <c r="E57" s="67" t="inlineStr">
        <is>
          <t>Nijmegen</t>
        </is>
      </c>
      <c r="F57" s="67" t="inlineStr">
        <is>
          <t>1 año</t>
        </is>
      </c>
      <c r="G57" s="67" t="inlineStr">
        <is>
          <t>€2,694</t>
        </is>
      </c>
      <c r="H57" s="67" t="inlineStr">
        <is>
          <t>€11,000</t>
        </is>
      </c>
      <c r="I57" s="67" t="inlineStr">
        <is>
          <t>€13,694</t>
        </is>
      </c>
      <c r="J57" s="67" t="inlineStr">
        <is>
          <t>No requerido</t>
        </is>
      </c>
      <c r="K57" s="67" t="inlineStr">
        <is>
          <t>—</t>
        </is>
      </c>
      <c r="L57" s="67" t="inlineStr">
        <is>
          <t>6.5 / TOEFL 90</t>
        </is>
      </c>
      <c r="M57" s="67" t="inlineStr">
        <is>
          <t>01/07/2026</t>
        </is>
      </c>
      <c r="N57" s="67" t="inlineStr">
        <is>
          <t>Solo non-EU</t>
        </is>
      </c>
      <c r="O57" s="67" t="inlineStr">
        <is>
          <t>★★</t>
        </is>
      </c>
      <c r="P57" s="67" t="inlineStr">
        <is>
          <t>★★★</t>
        </is>
      </c>
      <c r="Q57" s="67" t="inlineStr">
        <is>
          <t>https://www.ru.nl/en/education/masters/economics</t>
        </is>
      </c>
    </row>
    <row r="58" ht="34.5" customHeight="1" s="47">
      <c r="A58" s="76" t="inlineStr">
        <is>
          <t>Países Bajos</t>
        </is>
      </c>
      <c r="B58" s="76" t="inlineStr">
        <is>
          <t>Directa</t>
        </is>
      </c>
      <c r="C58" s="76" t="inlineStr">
        <is>
          <t>Maastricht</t>
        </is>
      </c>
      <c r="D58" s="76" t="inlineStr">
        <is>
          <t>MSc Economics</t>
        </is>
      </c>
      <c r="E58" s="76" t="inlineStr">
        <is>
          <t>Maastricht</t>
        </is>
      </c>
      <c r="F58" s="76" t="inlineStr">
        <is>
          <t>1 año</t>
        </is>
      </c>
      <c r="G58" s="76" t="inlineStr">
        <is>
          <t>€2,694</t>
        </is>
      </c>
      <c r="H58" s="76" t="inlineStr">
        <is>
          <t>€12,000</t>
        </is>
      </c>
      <c r="I58" s="76" t="inlineStr">
        <is>
          <t>€14,694</t>
        </is>
      </c>
      <c r="J58" s="77" t="inlineStr">
        <is>
          <t>GMAT ≥515 (Focus) o GRE s/tabla + AWA ≥3.5 — REQUERIDO</t>
        </is>
      </c>
      <c r="K58" s="78" t="inlineStr">
        <is>
          <t>GMAT ≥515 / GRE equiv.</t>
        </is>
      </c>
      <c r="L58" s="76" t="inlineStr">
        <is>
          <t>6.5 / TOEFL 90</t>
        </is>
      </c>
      <c r="M58" s="76" t="inlineStr">
        <is>
          <t>01/04/2026</t>
        </is>
      </c>
      <c r="N58" s="76" t="inlineStr">
        <is>
          <t>NL-High Potential ~€34,000 (solo non-EU)</t>
        </is>
      </c>
      <c r="O58" s="76" t="inlineStr">
        <is>
          <t>★★★</t>
        </is>
      </c>
      <c r="P58" s="76" t="inlineStr">
        <is>
          <t>★★★</t>
        </is>
      </c>
      <c r="Q58" s="76" t="inlineStr">
        <is>
          <t>https://www.maastrichtuniversity.nl/education/master/master-economic-studies</t>
        </is>
      </c>
    </row>
    <row r="59" ht="34.5" customHeight="1" s="47">
      <c r="A59" s="76" t="inlineStr">
        <is>
          <t>Países Bajos</t>
        </is>
      </c>
      <c r="B59" s="76" t="inlineStr">
        <is>
          <t>Directa</t>
        </is>
      </c>
      <c r="C59" s="76" t="inlineStr">
        <is>
          <t>Maastricht</t>
        </is>
      </c>
      <c r="D59" s="76" t="inlineStr">
        <is>
          <t>MSc Financial Economics</t>
        </is>
      </c>
      <c r="E59" s="76" t="inlineStr">
        <is>
          <t>Maastricht</t>
        </is>
      </c>
      <c r="F59" s="76" t="inlineStr">
        <is>
          <t>1 año</t>
        </is>
      </c>
      <c r="G59" s="76" t="inlineStr">
        <is>
          <t>€2,694</t>
        </is>
      </c>
      <c r="H59" s="76" t="inlineStr">
        <is>
          <t>€12,000</t>
        </is>
      </c>
      <c r="I59" s="76" t="inlineStr">
        <is>
          <t>€14,694</t>
        </is>
      </c>
      <c r="J59" s="77" t="inlineStr">
        <is>
          <t>GMAT ≥515 (Focus) o GRE s/tabla + AWA ≥3.5 — REQUERIDO</t>
        </is>
      </c>
      <c r="K59" s="78" t="inlineStr">
        <is>
          <t>GMAT ≥515 / GRE equiv.</t>
        </is>
      </c>
      <c r="L59" s="76" t="inlineStr">
        <is>
          <t>6.5</t>
        </is>
      </c>
      <c r="M59" s="76" t="inlineStr">
        <is>
          <t>01/04/2026</t>
        </is>
      </c>
      <c r="N59" s="76" t="inlineStr">
        <is>
          <t>Solo non-EU</t>
        </is>
      </c>
      <c r="O59" s="76" t="inlineStr">
        <is>
          <t>★★★★★</t>
        </is>
      </c>
      <c r="P59" s="76" t="inlineStr">
        <is>
          <t>★★</t>
        </is>
      </c>
      <c r="Q59" s="76" t="inlineStr">
        <is>
          <t>https://www.maastrichtuniversity.nl/education/master/master-economic-studies</t>
        </is>
      </c>
    </row>
    <row r="60" ht="34.5" customHeight="1" s="47">
      <c r="A60" s="76" t="inlineStr">
        <is>
          <t>Países Bajos</t>
        </is>
      </c>
      <c r="B60" s="76" t="inlineStr">
        <is>
          <t>Directa</t>
        </is>
      </c>
      <c r="C60" s="76" t="inlineStr">
        <is>
          <t>Maastricht</t>
        </is>
      </c>
      <c r="D60" s="76" t="inlineStr">
        <is>
          <t>MSc Econometrics &amp; Operations Research</t>
        </is>
      </c>
      <c r="E60" s="76" t="inlineStr">
        <is>
          <t>Maastricht</t>
        </is>
      </c>
      <c r="F60" s="76" t="inlineStr">
        <is>
          <t>1 año</t>
        </is>
      </c>
      <c r="G60" s="76" t="inlineStr">
        <is>
          <t>€2,694</t>
        </is>
      </c>
      <c r="H60" s="76" t="inlineStr">
        <is>
          <t>€12,000</t>
        </is>
      </c>
      <c r="I60" s="76" t="inlineStr">
        <is>
          <t>€14,694</t>
        </is>
      </c>
      <c r="J60" s="77" t="inlineStr">
        <is>
          <t>GMAT ≥515 (Focus) o GRE s/tabla + AWA ≥3.5 — REQUERIDO</t>
        </is>
      </c>
      <c r="K60" s="78" t="inlineStr">
        <is>
          <t>GMAT ≥515 / GRE equiv.</t>
        </is>
      </c>
      <c r="L60" s="76" t="inlineStr">
        <is>
          <t>6.5</t>
        </is>
      </c>
      <c r="M60" s="76" t="inlineStr">
        <is>
          <t>01/04/2026</t>
        </is>
      </c>
      <c r="N60" s="76" t="inlineStr">
        <is>
          <t>Solo non-EU</t>
        </is>
      </c>
      <c r="O60" s="76" t="inlineStr">
        <is>
          <t>★★★</t>
        </is>
      </c>
      <c r="P60" s="76" t="inlineStr">
        <is>
          <t>★★★★★</t>
        </is>
      </c>
      <c r="Q60" s="76" t="inlineStr">
        <is>
          <t>https://www.maastrichtuniversity.nl/education/master/master-economic-studies</t>
        </is>
      </c>
    </row>
    <row r="61" ht="34.5" customHeight="1" s="47">
      <c r="A61" s="76" t="inlineStr">
        <is>
          <t>Países Bajos</t>
        </is>
      </c>
      <c r="B61" s="76" t="inlineStr">
        <is>
          <t>Directa</t>
        </is>
      </c>
      <c r="C61" s="76" t="inlineStr">
        <is>
          <t>Maastricht</t>
        </is>
      </c>
      <c r="D61" s="76" t="inlineStr">
        <is>
          <t>Research Master Econ &amp; Financial Research (2 años, PhD-track)</t>
        </is>
      </c>
      <c r="E61" s="76" t="inlineStr">
        <is>
          <t>Maastricht</t>
        </is>
      </c>
      <c r="F61" s="76" t="inlineStr">
        <is>
          <t>2 años</t>
        </is>
      </c>
      <c r="G61" s="76" t="inlineStr">
        <is>
          <t>€2,694/año</t>
        </is>
      </c>
      <c r="H61" s="76" t="inlineStr">
        <is>
          <t>€12,000</t>
        </is>
      </c>
      <c r="I61" s="76" t="inlineStr">
        <is>
          <t>€14,694/año</t>
        </is>
      </c>
      <c r="J61" s="77" t="inlineStr">
        <is>
          <t>GMAT ≥515 (Focus) o GRE s/tabla + AWA ≥3.5 — REQUERIDO</t>
        </is>
      </c>
      <c r="K61" s="78" t="inlineStr">
        <is>
          <t>GMAT ≥515 / GRE equiv.</t>
        </is>
      </c>
      <c r="L61" s="76" t="inlineStr">
        <is>
          <t>6.5</t>
        </is>
      </c>
      <c r="M61" s="76" t="inlineStr">
        <is>
          <t>01/02/2026</t>
        </is>
      </c>
      <c r="N61" s="76" t="inlineStr">
        <is>
          <t>Solo non-EU</t>
        </is>
      </c>
      <c r="O61" s="76" t="inlineStr">
        <is>
          <t>★★★★★</t>
        </is>
      </c>
      <c r="P61" s="76" t="inlineStr">
        <is>
          <t>★★★★★</t>
        </is>
      </c>
      <c r="Q61" s="76" t="inlineStr">
        <is>
          <t>https://www.maastrichtuniversity.nl/education/master/master-economic-and-financial-research</t>
        </is>
      </c>
    </row>
    <row r="62" ht="34.5" customHeight="1" s="47">
      <c r="A62" s="75" t="inlineStr">
        <is>
          <t>Países Bajos</t>
        </is>
      </c>
      <c r="B62" s="75" t="inlineStr">
        <is>
          <t>Directa</t>
        </is>
      </c>
      <c r="C62" s="75" t="inlineStr">
        <is>
          <t>Tilburg</t>
        </is>
      </c>
      <c r="D62" s="75" t="inlineStr">
        <is>
          <t>MSc Economics</t>
        </is>
      </c>
      <c r="E62" s="75" t="inlineStr">
        <is>
          <t>Tilburg</t>
        </is>
      </c>
      <c r="F62" s="75" t="inlineStr">
        <is>
          <t>1 año</t>
        </is>
      </c>
      <c r="G62" s="75" t="inlineStr">
        <is>
          <t>~€2,530</t>
        </is>
      </c>
      <c r="H62" s="75" t="inlineStr">
        <is>
          <t>€10,500</t>
        </is>
      </c>
      <c r="I62" s="75" t="inlineStr">
        <is>
          <t>€13,030</t>
        </is>
      </c>
      <c r="J62" s="75" t="inlineStr">
        <is>
          <t>No requerido (GMAT rec.)</t>
        </is>
      </c>
      <c r="K62" s="75" t="inlineStr">
        <is>
          <t>Q ≥160 si se envía</t>
        </is>
      </c>
      <c r="L62" s="75" t="inlineStr">
        <is>
          <t>6.5</t>
        </is>
      </c>
      <c r="M62" s="75" t="inlineStr">
        <is>
          <t>Consultar</t>
        </is>
      </c>
      <c r="N62" s="75" t="inlineStr">
        <is>
          <t>Tilburg Univ Scholarship (TUS): tuition + €10,000 (competitiva, alguna no-EU)</t>
        </is>
      </c>
      <c r="O62" s="75" t="inlineStr">
        <is>
          <t>★★★★</t>
        </is>
      </c>
      <c r="P62" s="75" t="inlineStr">
        <is>
          <t>★★★</t>
        </is>
      </c>
      <c r="Q62" s="75" t="inlineStr">
        <is>
          <t>https://www.tilburguniversity.edu/education/masters-programmes/economics</t>
        </is>
      </c>
    </row>
    <row r="63" ht="23.25" customHeight="1" s="47">
      <c r="A63" s="76" t="inlineStr">
        <is>
          <t>Países Bajos</t>
        </is>
      </c>
      <c r="B63" s="76" t="inlineStr">
        <is>
          <t>Directa</t>
        </is>
      </c>
      <c r="C63" s="76" t="inlineStr">
        <is>
          <t>Tinbergen Institute</t>
        </is>
      </c>
      <c r="D63" s="76" t="inlineStr">
        <is>
          <t>Research Master in Economics (2 años, joint VU+UvA+Erasmus)</t>
        </is>
      </c>
      <c r="E63" s="76" t="inlineStr">
        <is>
          <t>Amsterdam/Rotterdam</t>
        </is>
      </c>
      <c r="F63" s="76" t="inlineStr">
        <is>
          <t>2 años</t>
        </is>
      </c>
      <c r="G63" s="76" t="inlineStr">
        <is>
          <t>~€2,530/año</t>
        </is>
      </c>
      <c r="H63" s="76" t="inlineStr">
        <is>
          <t>€14,000</t>
        </is>
      </c>
      <c r="I63" s="76" t="inlineStr">
        <is>
          <t>~€16,530/año</t>
        </is>
      </c>
      <c r="J63" s="77" t="inlineStr">
        <is>
          <t>GRE REQUERIDO (título no-NL). Q&lt;160 descartado; admitidos típicos top-10% quant</t>
        </is>
      </c>
      <c r="K63" s="78" t="inlineStr">
        <is>
          <t>Q ≥165 (piso duro Q160)</t>
        </is>
      </c>
      <c r="L63" s="76" t="inlineStr">
        <is>
          <t>6.5</t>
        </is>
      </c>
      <c r="M63" s="76" t="inlineStr">
        <is>
          <t>Dic 2025 / Feb 2026</t>
        </is>
      </c>
      <c r="N63" s="76" t="inlineStr">
        <is>
          <t>Competitive fellowships (algunos no-EU)</t>
        </is>
      </c>
      <c r="O63" s="76" t="inlineStr">
        <is>
          <t>★★★★★</t>
        </is>
      </c>
      <c r="P63" s="76" t="inlineStr">
        <is>
          <t>★★★★★</t>
        </is>
      </c>
      <c r="Q63" s="76" t="inlineStr">
        <is>
          <t>https://tinbergen.nl/research-master</t>
        </is>
      </c>
    </row>
    <row r="64" ht="23.25" customHeight="1" s="47">
      <c r="A64" s="67" t="inlineStr">
        <is>
          <t>🇩🇪</t>
        </is>
      </c>
      <c r="B64" s="67" t="inlineStr">
        <is>
          <t>Directa</t>
        </is>
      </c>
      <c r="C64" s="67" t="inlineStr">
        <is>
          <t>Univ. of Bonn</t>
        </is>
      </c>
      <c r="D64" s="67" t="inlineStr">
        <is>
          <t>MSc Economics</t>
        </is>
      </c>
      <c r="E64" s="67" t="inlineStr">
        <is>
          <t>Bonn</t>
        </is>
      </c>
      <c r="F64" s="67" t="inlineStr">
        <is>
          <t>2 años</t>
        </is>
      </c>
      <c r="G64" s="67" t="inlineStr">
        <is>
          <t>€600</t>
        </is>
      </c>
      <c r="H64" s="67" t="inlineStr">
        <is>
          <t>€11,000</t>
        </is>
      </c>
      <c r="I64" s="67" t="inlineStr">
        <is>
          <t>€11,600</t>
        </is>
      </c>
      <c r="J64" s="67" t="inlineStr">
        <is>
          <t>No requerido</t>
        </is>
      </c>
      <c r="K64" s="67" t="inlineStr">
        <is>
          <t>—</t>
        </is>
      </c>
      <c r="L64" s="67" t="inlineStr">
        <is>
          <t>C1 / IELTS 6.5</t>
        </is>
      </c>
      <c r="M64" s="67" t="inlineStr">
        <is>
          <t>~15 may 2026</t>
        </is>
      </c>
      <c r="N64" s="67" t="inlineStr">
        <is>
          <t>DAAD; Deutschlandstipendium €3,600</t>
        </is>
      </c>
      <c r="O64" s="67" t="inlineStr">
        <is>
          <t>★★★★</t>
        </is>
      </c>
      <c r="P64" s="67" t="inlineStr">
        <is>
          <t>★★★★★</t>
        </is>
      </c>
      <c r="Q64" s="67" t="inlineStr">
        <is>
          <t>https://www.econ.uni-bonn.de/en</t>
        </is>
      </c>
    </row>
    <row r="65" ht="23.25" customHeight="1" s="47">
      <c r="A65" s="67" t="inlineStr">
        <is>
          <t>🇩🇪</t>
        </is>
      </c>
      <c r="B65" s="67" t="inlineStr">
        <is>
          <t>Directa</t>
        </is>
      </c>
      <c r="C65" s="67" t="inlineStr">
        <is>
          <t>Univ. of Mannheim</t>
        </is>
      </c>
      <c r="D65" s="67" t="inlineStr">
        <is>
          <t>MSc Economics</t>
        </is>
      </c>
      <c r="E65" s="67" t="inlineStr">
        <is>
          <t>Mannheim</t>
        </is>
      </c>
      <c r="F65" s="67" t="inlineStr">
        <is>
          <t>2 años</t>
        </is>
      </c>
      <c r="G65" s="67" t="inlineStr">
        <is>
          <t>€388</t>
        </is>
      </c>
      <c r="H65" s="67" t="inlineStr">
        <is>
          <t>€11,000</t>
        </is>
      </c>
      <c r="I65" s="67" t="inlineStr">
        <is>
          <t>€11,400</t>
        </is>
      </c>
      <c r="J65" s="67" t="inlineStr">
        <is>
          <t>No requerido</t>
        </is>
      </c>
      <c r="K65" s="67" t="inlineStr">
        <is>
          <t>—</t>
        </is>
      </c>
      <c r="L65" s="67" t="inlineStr">
        <is>
          <t>C1 / IELTS 6.5</t>
        </is>
      </c>
      <c r="M65" s="67" t="inlineStr">
        <is>
          <t>31 may / 15 nov</t>
        </is>
      </c>
      <c r="N65" s="67" t="inlineStr">
        <is>
          <t>DAAD; Mannheim merit</t>
        </is>
      </c>
      <c r="O65" s="67" t="inlineStr">
        <is>
          <t>★★★★★</t>
        </is>
      </c>
      <c r="P65" s="67" t="inlineStr">
        <is>
          <t>★★★★</t>
        </is>
      </c>
      <c r="Q65" s="67" t="inlineStr">
        <is>
          <t>https://www.vwl.uni-mannheim.de/en</t>
        </is>
      </c>
    </row>
    <row r="66" ht="23.25" customHeight="1" s="47">
      <c r="A66" s="67" t="inlineStr">
        <is>
          <t>🇩🇪</t>
        </is>
      </c>
      <c r="B66" s="67" t="inlineStr">
        <is>
          <t>Directa</t>
        </is>
      </c>
      <c r="C66" s="67" t="inlineStr">
        <is>
          <t>Goethe Univ. Frankfurt</t>
        </is>
      </c>
      <c r="D66" s="67" t="inlineStr">
        <is>
          <t>MSc Money, Macro &amp; Finance</t>
        </is>
      </c>
      <c r="E66" s="67" t="inlineStr">
        <is>
          <t>Frankfurt</t>
        </is>
      </c>
      <c r="F66" s="67" t="inlineStr">
        <is>
          <t>2 años</t>
        </is>
      </c>
      <c r="G66" s="67" t="inlineStr">
        <is>
          <t>€762</t>
        </is>
      </c>
      <c r="H66" s="67" t="inlineStr">
        <is>
          <t>€13,000</t>
        </is>
      </c>
      <c r="I66" s="67" t="inlineStr">
        <is>
          <t>€13,800</t>
        </is>
      </c>
      <c r="J66" s="67" t="inlineStr">
        <is>
          <t>No requerido</t>
        </is>
      </c>
      <c r="K66" s="67" t="inlineStr">
        <is>
          <t>—</t>
        </is>
      </c>
      <c r="L66" s="67" t="inlineStr">
        <is>
          <t>C1 / IELTS 6.5</t>
        </is>
      </c>
      <c r="M66" s="67" t="inlineStr">
        <is>
          <t>31 ene / 31 mar / 15 may</t>
        </is>
      </c>
      <c r="N66" s="67" t="inlineStr">
        <is>
          <t>DAAD; GSEFM</t>
        </is>
      </c>
      <c r="O66" s="67" t="inlineStr">
        <is>
          <t>★★★★★</t>
        </is>
      </c>
      <c r="P66" s="67" t="inlineStr">
        <is>
          <t>★★</t>
        </is>
      </c>
      <c r="Q66" s="67" t="inlineStr">
        <is>
          <t>https://www.wiwi.uni-frankfurt.de/en</t>
        </is>
      </c>
    </row>
    <row r="67" ht="23.25" customHeight="1" s="47">
      <c r="A67" s="67" t="inlineStr">
        <is>
          <t>🇩🇪</t>
        </is>
      </c>
      <c r="B67" s="67" t="inlineStr">
        <is>
          <t>Directa</t>
        </is>
      </c>
      <c r="C67" s="67" t="inlineStr">
        <is>
          <t>LMU Munich</t>
        </is>
      </c>
      <c r="D67" s="67" t="inlineStr">
        <is>
          <t>MSc Economics</t>
        </is>
      </c>
      <c r="E67" s="67" t="inlineStr">
        <is>
          <t>Múnich</t>
        </is>
      </c>
      <c r="F67" s="67" t="inlineStr">
        <is>
          <t>2 años</t>
        </is>
      </c>
      <c r="G67" s="67" t="inlineStr">
        <is>
          <t>€170</t>
        </is>
      </c>
      <c r="H67" s="67" t="inlineStr">
        <is>
          <t>€14,000</t>
        </is>
      </c>
      <c r="I67" s="67" t="inlineStr">
        <is>
          <t>€14,170</t>
        </is>
      </c>
      <c r="J67" s="67" t="inlineStr">
        <is>
          <t>No requerido</t>
        </is>
      </c>
      <c r="K67" s="67" t="inlineStr">
        <is>
          <t>—</t>
        </is>
      </c>
      <c r="L67" s="67" t="inlineStr">
        <is>
          <t>C1 / IELTS 6.5</t>
        </is>
      </c>
      <c r="M67" s="67" t="inlineStr">
        <is>
          <t>~31 may</t>
        </is>
      </c>
      <c r="N67" s="67" t="inlineStr">
        <is>
          <t>DAAD; Munich GSE</t>
        </is>
      </c>
      <c r="O67" s="67" t="inlineStr">
        <is>
          <t>★★★★</t>
        </is>
      </c>
      <c r="P67" s="67" t="inlineStr">
        <is>
          <t>★★★★</t>
        </is>
      </c>
      <c r="Q67" s="67" t="inlineStr">
        <is>
          <t>https://www.econ.lmu.de/en</t>
        </is>
      </c>
    </row>
    <row r="68" ht="23.25" customHeight="1" s="47">
      <c r="A68" s="67" t="inlineStr">
        <is>
          <t>🇩🇪</t>
        </is>
      </c>
      <c r="B68" s="67" t="inlineStr">
        <is>
          <t>Directa</t>
        </is>
      </c>
      <c r="C68" s="67" t="inlineStr">
        <is>
          <t>Humboldt Univ. Berlin</t>
        </is>
      </c>
      <c r="D68" s="67" t="inlineStr">
        <is>
          <t>MSc Economics / MEMS</t>
        </is>
      </c>
      <c r="E68" s="67" t="inlineStr">
        <is>
          <t>Berlín</t>
        </is>
      </c>
      <c r="F68" s="67" t="inlineStr">
        <is>
          <t>2 años</t>
        </is>
      </c>
      <c r="G68" s="67" t="inlineStr">
        <is>
          <t>€600</t>
        </is>
      </c>
      <c r="H68" s="67" t="inlineStr">
        <is>
          <t>€12,000</t>
        </is>
      </c>
      <c r="I68" s="67" t="inlineStr">
        <is>
          <t>€12,600</t>
        </is>
      </c>
      <c r="J68" s="67" t="inlineStr">
        <is>
          <t>No requerido</t>
        </is>
      </c>
      <c r="K68" s="67" t="inlineStr">
        <is>
          <t>—</t>
        </is>
      </c>
      <c r="L68" s="67" t="inlineStr">
        <is>
          <t>C1 obligatorio</t>
        </is>
      </c>
      <c r="M68" s="67" t="inlineStr">
        <is>
          <t>~31 may</t>
        </is>
      </c>
      <c r="N68" s="67" t="inlineStr">
        <is>
          <t>DAAD; Berlin School of Econ</t>
        </is>
      </c>
      <c r="O68" s="67" t="inlineStr">
        <is>
          <t>★★★</t>
        </is>
      </c>
      <c r="P68" s="67" t="inlineStr">
        <is>
          <t>★★★★</t>
        </is>
      </c>
      <c r="Q68" s="67" t="inlineStr">
        <is>
          <t>https://www.wiwi.hu-berlin.de/en</t>
        </is>
      </c>
    </row>
    <row r="69" ht="23.25" customHeight="1" s="47">
      <c r="A69" s="76" t="inlineStr">
        <is>
          <t>🇸🇪</t>
        </is>
      </c>
      <c r="B69" s="76" t="inlineStr">
        <is>
          <t>Directa</t>
        </is>
      </c>
      <c r="C69" s="76" t="inlineStr">
        <is>
          <t>Stockholm School of Economics</t>
        </is>
      </c>
      <c r="D69" s="76" t="inlineStr">
        <is>
          <t>MSc Economics</t>
        </is>
      </c>
      <c r="E69" s="76" t="inlineStr">
        <is>
          <t>Estocolmo</t>
        </is>
      </c>
      <c r="F69" s="76" t="inlineStr">
        <is>
          <t>2 años</t>
        </is>
      </c>
      <c r="G69" s="76" t="inlineStr">
        <is>
          <t>€0</t>
        </is>
      </c>
      <c r="H69" s="76" t="inlineStr">
        <is>
          <t>€15,000</t>
        </is>
      </c>
      <c r="I69" s="76" t="inlineStr">
        <is>
          <t>€15,000</t>
        </is>
      </c>
      <c r="J69" s="77" t="inlineStr">
        <is>
          <t>GRE Q ≥155 o GMAT Focus ≥555 REQUERIDO (⚠ corregido: antes figuraba 'No')</t>
        </is>
      </c>
      <c r="K69" s="78" t="inlineStr">
        <is>
          <t>Q ≥155 (piso; ideal 160+)</t>
        </is>
      </c>
      <c r="L69" s="76" t="inlineStr">
        <is>
          <t>C1 / IELTS 6.5</t>
        </is>
      </c>
      <c r="M69" s="76" t="inlineStr">
        <is>
          <t>~15 ene</t>
        </is>
      </c>
      <c r="N69" s="76" t="inlineStr">
        <is>
          <t>SSE merit (no necesaria)</t>
        </is>
      </c>
      <c r="O69" s="76" t="inlineStr">
        <is>
          <t>★★★★</t>
        </is>
      </c>
      <c r="P69" s="76" t="inlineStr">
        <is>
          <t>★★★★</t>
        </is>
      </c>
      <c r="Q69" s="76" t="inlineStr">
        <is>
          <t>https://www.hhs.se/en/education/msc/</t>
        </is>
      </c>
    </row>
    <row r="70" ht="23.25" customHeight="1" s="47">
      <c r="A70" s="67" t="inlineStr">
        <is>
          <t>🇸🇪</t>
        </is>
      </c>
      <c r="B70" s="67" t="inlineStr">
        <is>
          <t>Directa</t>
        </is>
      </c>
      <c r="C70" s="67" t="inlineStr">
        <is>
          <t>Stockholm University</t>
        </is>
      </c>
      <c r="D70" s="67" t="inlineStr">
        <is>
          <t>MSc Economics</t>
        </is>
      </c>
      <c r="E70" s="67" t="inlineStr">
        <is>
          <t>Estocolmo</t>
        </is>
      </c>
      <c r="F70" s="67" t="inlineStr">
        <is>
          <t>2 años</t>
        </is>
      </c>
      <c r="G70" s="67" t="inlineStr">
        <is>
          <t>€0</t>
        </is>
      </c>
      <c r="H70" s="67" t="inlineStr">
        <is>
          <t>€15,000</t>
        </is>
      </c>
      <c r="I70" s="67" t="inlineStr">
        <is>
          <t>€15,000</t>
        </is>
      </c>
      <c r="J70" s="67" t="inlineStr">
        <is>
          <t>No requerido</t>
        </is>
      </c>
      <c r="K70" s="67" t="inlineStr">
        <is>
          <t>—</t>
        </is>
      </c>
      <c r="L70" s="67" t="inlineStr">
        <is>
          <t>C1 / IELTS 6.5</t>
        </is>
      </c>
      <c r="M70" s="67" t="inlineStr">
        <is>
          <t>~15 ene</t>
        </is>
      </c>
      <c r="N70" s="67" t="inlineStr">
        <is>
          <t>Gratis EU</t>
        </is>
      </c>
      <c r="O70" s="67" t="inlineStr">
        <is>
          <t>★★★★</t>
        </is>
      </c>
      <c r="P70" s="67" t="inlineStr">
        <is>
          <t>★★★★★</t>
        </is>
      </c>
      <c r="Q70" s="67" t="inlineStr">
        <is>
          <t>https://www.su.se/english/</t>
        </is>
      </c>
    </row>
    <row r="71" ht="23.25" customHeight="1" s="47">
      <c r="A71" s="67" t="inlineStr">
        <is>
          <t>🇸🇪</t>
        </is>
      </c>
      <c r="B71" s="67" t="inlineStr">
        <is>
          <t>Directa</t>
        </is>
      </c>
      <c r="C71" s="67" t="inlineStr">
        <is>
          <t>Lund University</t>
        </is>
      </c>
      <c r="D71" s="67" t="inlineStr">
        <is>
          <t>MSc Economics / Int'l Development</t>
        </is>
      </c>
      <c r="E71" s="67" t="inlineStr">
        <is>
          <t>Lund</t>
        </is>
      </c>
      <c r="F71" s="67" t="inlineStr">
        <is>
          <t>2 años</t>
        </is>
      </c>
      <c r="G71" s="67" t="inlineStr">
        <is>
          <t>€0</t>
        </is>
      </c>
      <c r="H71" s="67" t="inlineStr">
        <is>
          <t>€11,000</t>
        </is>
      </c>
      <c r="I71" s="67" t="inlineStr">
        <is>
          <t>€11,000</t>
        </is>
      </c>
      <c r="J71" s="67" t="inlineStr">
        <is>
          <t>No requerido</t>
        </is>
      </c>
      <c r="K71" s="67" t="inlineStr">
        <is>
          <t>—</t>
        </is>
      </c>
      <c r="L71" s="67" t="inlineStr">
        <is>
          <t>C1 / IELTS 6.5</t>
        </is>
      </c>
      <c r="M71" s="67" t="inlineStr">
        <is>
          <t>~15 ene</t>
        </is>
      </c>
      <c r="N71" s="67" t="inlineStr">
        <is>
          <t>Gratis EU</t>
        </is>
      </c>
      <c r="O71" s="67" t="inlineStr">
        <is>
          <t>★★★</t>
        </is>
      </c>
      <c r="P71" s="67" t="inlineStr">
        <is>
          <t>★★★★★</t>
        </is>
      </c>
      <c r="Q71" s="67" t="inlineStr">
        <is>
          <t>https://www.lunduniversity.lu.se/</t>
        </is>
      </c>
    </row>
    <row r="72" ht="23.25" customHeight="1" s="47">
      <c r="A72" s="67" t="inlineStr">
        <is>
          <t>🇸🇪</t>
        </is>
      </c>
      <c r="B72" s="67" t="inlineStr">
        <is>
          <t>Directa</t>
        </is>
      </c>
      <c r="C72" s="67" t="inlineStr">
        <is>
          <t>Uppsala University</t>
        </is>
      </c>
      <c r="D72" s="67" t="inlineStr">
        <is>
          <t>MSc Economics</t>
        </is>
      </c>
      <c r="E72" s="67" t="inlineStr">
        <is>
          <t>Uppsala</t>
        </is>
      </c>
      <c r="F72" s="67" t="inlineStr">
        <is>
          <t>2 años</t>
        </is>
      </c>
      <c r="G72" s="67" t="inlineStr">
        <is>
          <t>€0</t>
        </is>
      </c>
      <c r="H72" s="67" t="inlineStr">
        <is>
          <t>€11,000</t>
        </is>
      </c>
      <c r="I72" s="67" t="inlineStr">
        <is>
          <t>€11,000</t>
        </is>
      </c>
      <c r="J72" s="67" t="inlineStr">
        <is>
          <t>No requerido</t>
        </is>
      </c>
      <c r="K72" s="67" t="inlineStr">
        <is>
          <t>—</t>
        </is>
      </c>
      <c r="L72" s="67" t="inlineStr">
        <is>
          <t>C1 / IELTS 6.5</t>
        </is>
      </c>
      <c r="M72" s="67" t="inlineStr">
        <is>
          <t>~15 ene</t>
        </is>
      </c>
      <c r="N72" s="67" t="inlineStr">
        <is>
          <t>Gratis EU</t>
        </is>
      </c>
      <c r="O72" s="67" t="inlineStr">
        <is>
          <t>★★★</t>
        </is>
      </c>
      <c r="P72" s="67" t="inlineStr">
        <is>
          <t>★★★★</t>
        </is>
      </c>
      <c r="Q72" s="67" t="inlineStr">
        <is>
          <t>https://www.uu.se/en/</t>
        </is>
      </c>
    </row>
    <row r="73" ht="23.25" customHeight="1" s="47">
      <c r="A73" s="67" t="inlineStr">
        <is>
          <t>🇳🇴</t>
        </is>
      </c>
      <c r="B73" s="67" t="inlineStr">
        <is>
          <t>Directa</t>
        </is>
      </c>
      <c r="C73" s="67" t="inlineStr">
        <is>
          <t>NHH Norwegian School of Econ</t>
        </is>
      </c>
      <c r="D73" s="67" t="inlineStr">
        <is>
          <t>MSc Economics &amp; Business Admin (Econ major)</t>
        </is>
      </c>
      <c r="E73" s="67" t="inlineStr">
        <is>
          <t>Bergen</t>
        </is>
      </c>
      <c r="F73" s="67" t="inlineStr">
        <is>
          <t>2 años</t>
        </is>
      </c>
      <c r="G73" s="67" t="inlineStr">
        <is>
          <t>€0</t>
        </is>
      </c>
      <c r="H73" s="67" t="inlineStr">
        <is>
          <t>€15,000</t>
        </is>
      </c>
      <c r="I73" s="67" t="inlineStr">
        <is>
          <t>€15,000</t>
        </is>
      </c>
      <c r="J73" s="67" t="inlineStr">
        <is>
          <t>No requerido</t>
        </is>
      </c>
      <c r="K73" s="67" t="inlineStr">
        <is>
          <t>—</t>
        </is>
      </c>
      <c r="L73" s="67" t="inlineStr">
        <is>
          <t>C1 / IELTS 6.5</t>
        </is>
      </c>
      <c r="M73" s="67" t="inlineStr">
        <is>
          <t>~15 oct/abr</t>
        </is>
      </c>
      <c r="N73" s="67" t="inlineStr">
        <is>
          <t>Gratis EU/EEA</t>
        </is>
      </c>
      <c r="O73" s="67" t="inlineStr">
        <is>
          <t>★★★★</t>
        </is>
      </c>
      <c r="P73" s="67" t="inlineStr">
        <is>
          <t>★★★</t>
        </is>
      </c>
      <c r="Q73" s="67" t="inlineStr">
        <is>
          <t>https://www.nhh.no/en/</t>
        </is>
      </c>
    </row>
    <row r="74" ht="23.25" customHeight="1" s="47">
      <c r="A74" s="67" t="inlineStr">
        <is>
          <t>🇳🇴</t>
        </is>
      </c>
      <c r="B74" s="67" t="inlineStr">
        <is>
          <t>Directa</t>
        </is>
      </c>
      <c r="C74" s="67" t="inlineStr">
        <is>
          <t>University of Oslo</t>
        </is>
      </c>
      <c r="D74" s="67" t="inlineStr">
        <is>
          <t>MSc Economics</t>
        </is>
      </c>
      <c r="E74" s="67" t="inlineStr">
        <is>
          <t>Oslo</t>
        </is>
      </c>
      <c r="F74" s="67" t="inlineStr">
        <is>
          <t>2 años</t>
        </is>
      </c>
      <c r="G74" s="67" t="inlineStr">
        <is>
          <t>€0</t>
        </is>
      </c>
      <c r="H74" s="67" t="inlineStr">
        <is>
          <t>€16,000</t>
        </is>
      </c>
      <c r="I74" s="67" t="inlineStr">
        <is>
          <t>€16,000</t>
        </is>
      </c>
      <c r="J74" s="67" t="inlineStr">
        <is>
          <t>No requerido</t>
        </is>
      </c>
      <c r="K74" s="67" t="inlineStr">
        <is>
          <t>—</t>
        </is>
      </c>
      <c r="L74" s="67" t="inlineStr">
        <is>
          <t>C1 / IELTS 6.5</t>
        </is>
      </c>
      <c r="M74" s="67" t="inlineStr">
        <is>
          <t>~1 dic</t>
        </is>
      </c>
      <c r="N74" s="67" t="inlineStr">
        <is>
          <t>Gratis EU/EEA</t>
        </is>
      </c>
      <c r="O74" s="67" t="inlineStr">
        <is>
          <t>★★★</t>
        </is>
      </c>
      <c r="P74" s="67" t="inlineStr">
        <is>
          <t>★★★★</t>
        </is>
      </c>
      <c r="Q74" s="67" t="inlineStr">
        <is>
          <t>https://www.uio.no/english/</t>
        </is>
      </c>
    </row>
    <row r="75" ht="23.25" customHeight="1" s="47">
      <c r="A75" s="67" t="inlineStr">
        <is>
          <t>🇩🇰</t>
        </is>
      </c>
      <c r="B75" s="67" t="inlineStr">
        <is>
          <t>Directa</t>
        </is>
      </c>
      <c r="C75" s="67" t="inlineStr">
        <is>
          <t>University of Copenhagen</t>
        </is>
      </c>
      <c r="D75" s="67" t="inlineStr">
        <is>
          <t>MSc Economics</t>
        </is>
      </c>
      <c r="E75" s="67" t="inlineStr">
        <is>
          <t>Copenhague</t>
        </is>
      </c>
      <c r="F75" s="67" t="inlineStr">
        <is>
          <t>2 años</t>
        </is>
      </c>
      <c r="G75" s="67" t="inlineStr">
        <is>
          <t>€0</t>
        </is>
      </c>
      <c r="H75" s="67" t="inlineStr">
        <is>
          <t>€14,000</t>
        </is>
      </c>
      <c r="I75" s="67" t="inlineStr">
        <is>
          <t>€14,000</t>
        </is>
      </c>
      <c r="J75" s="67" t="inlineStr">
        <is>
          <t>No requerido</t>
        </is>
      </c>
      <c r="K75" s="67" t="inlineStr">
        <is>
          <t>—</t>
        </is>
      </c>
      <c r="L75" s="67" t="inlineStr">
        <is>
          <t>C1 / IELTS 6.5</t>
        </is>
      </c>
      <c r="M75" s="67" t="inlineStr">
        <is>
          <t>~1 mar</t>
        </is>
      </c>
      <c r="N75" s="67" t="inlineStr">
        <is>
          <t>Gratis EU/EEA</t>
        </is>
      </c>
      <c r="O75" s="67" t="inlineStr">
        <is>
          <t>★★★★</t>
        </is>
      </c>
      <c r="P75" s="67" t="inlineStr">
        <is>
          <t>★★★★</t>
        </is>
      </c>
      <c r="Q75" s="67" t="inlineStr">
        <is>
          <t>https://www.ku.dk/studies/masters/economics</t>
        </is>
      </c>
    </row>
    <row r="76" ht="23.25" customHeight="1" s="47">
      <c r="A76" s="67" t="inlineStr">
        <is>
          <t>🇩🇰</t>
        </is>
      </c>
      <c r="B76" s="67" t="inlineStr">
        <is>
          <t>Directa</t>
        </is>
      </c>
      <c r="C76" s="67" t="inlineStr">
        <is>
          <t>Aarhus University</t>
        </is>
      </c>
      <c r="D76" s="67" t="inlineStr">
        <is>
          <t>MSc Quantitative Economics</t>
        </is>
      </c>
      <c r="E76" s="67" t="inlineStr">
        <is>
          <t>Aarhus</t>
        </is>
      </c>
      <c r="F76" s="67" t="inlineStr">
        <is>
          <t>2 años</t>
        </is>
      </c>
      <c r="G76" s="67" t="inlineStr">
        <is>
          <t>€0</t>
        </is>
      </c>
      <c r="H76" s="67" t="inlineStr">
        <is>
          <t>€11,000</t>
        </is>
      </c>
      <c r="I76" s="67" t="inlineStr">
        <is>
          <t>€11,000</t>
        </is>
      </c>
      <c r="J76" s="67" t="inlineStr">
        <is>
          <t>No requerido</t>
        </is>
      </c>
      <c r="K76" s="67" t="inlineStr">
        <is>
          <t>—</t>
        </is>
      </c>
      <c r="L76" s="67" t="inlineStr">
        <is>
          <t>C1 / IELTS 6.5</t>
        </is>
      </c>
      <c r="M76" s="67" t="inlineStr">
        <is>
          <t>~15 ene/mar</t>
        </is>
      </c>
      <c r="N76" s="67" t="inlineStr">
        <is>
          <t>Gratis EU/EEA</t>
        </is>
      </c>
      <c r="O76" s="67" t="inlineStr">
        <is>
          <t>★★★</t>
        </is>
      </c>
      <c r="P76" s="67" t="inlineStr">
        <is>
          <t>★★★★★</t>
        </is>
      </c>
      <c r="Q76" s="67" t="inlineStr">
        <is>
          <t>https://masters.au.dk/</t>
        </is>
      </c>
    </row>
    <row r="77" ht="23.25" customHeight="1" s="47">
      <c r="A77" s="67" t="inlineStr">
        <is>
          <t>🇫🇮</t>
        </is>
      </c>
      <c r="B77" s="67" t="inlineStr">
        <is>
          <t>Directa</t>
        </is>
      </c>
      <c r="C77" s="67" t="inlineStr">
        <is>
          <t>Helsinki GSE (Univ. Helsinki)</t>
        </is>
      </c>
      <c r="D77" s="67" t="inlineStr">
        <is>
          <t>MSc Economics</t>
        </is>
      </c>
      <c r="E77" s="67" t="inlineStr">
        <is>
          <t>Helsinki</t>
        </is>
      </c>
      <c r="F77" s="67" t="inlineStr">
        <is>
          <t>2 años</t>
        </is>
      </c>
      <c r="G77" s="67" t="inlineStr">
        <is>
          <t>€0</t>
        </is>
      </c>
      <c r="H77" s="67" t="inlineStr">
        <is>
          <t>€12,000</t>
        </is>
      </c>
      <c r="I77" s="67" t="inlineStr">
        <is>
          <t>€12,000</t>
        </is>
      </c>
      <c r="J77" s="67" t="inlineStr">
        <is>
          <t>No requerido</t>
        </is>
      </c>
      <c r="K77" s="67" t="inlineStr">
        <is>
          <t>—</t>
        </is>
      </c>
      <c r="L77" s="67" t="inlineStr">
        <is>
          <t>C1 / IELTS 6.5</t>
        </is>
      </c>
      <c r="M77" s="67" t="inlineStr">
        <is>
          <t>~ene</t>
        </is>
      </c>
      <c r="N77" s="67" t="inlineStr">
        <is>
          <t>Gratis EU/EEA</t>
        </is>
      </c>
      <c r="O77" s="67" t="inlineStr">
        <is>
          <t>★★★★</t>
        </is>
      </c>
      <c r="P77" s="67" t="inlineStr">
        <is>
          <t>★★★★</t>
        </is>
      </c>
      <c r="Q77" s="67" t="inlineStr">
        <is>
          <t>https://www.helsinki.fi/en/</t>
        </is>
      </c>
    </row>
    <row r="78" ht="23.25" customHeight="1" s="47">
      <c r="A78" s="67" t="inlineStr">
        <is>
          <t>🇫🇮</t>
        </is>
      </c>
      <c r="B78" s="67" t="inlineStr">
        <is>
          <t>Directa</t>
        </is>
      </c>
      <c r="C78" s="67" t="inlineStr">
        <is>
          <t>Aalto University</t>
        </is>
      </c>
      <c r="D78" s="67" t="inlineStr">
        <is>
          <t>MSc Economics</t>
        </is>
      </c>
      <c r="E78" s="67" t="inlineStr">
        <is>
          <t>Helsinki</t>
        </is>
      </c>
      <c r="F78" s="67" t="inlineStr">
        <is>
          <t>2 años</t>
        </is>
      </c>
      <c r="G78" s="67" t="inlineStr">
        <is>
          <t>€0</t>
        </is>
      </c>
      <c r="H78" s="67" t="inlineStr">
        <is>
          <t>€12,000</t>
        </is>
      </c>
      <c r="I78" s="67" t="inlineStr">
        <is>
          <t>€12,000</t>
        </is>
      </c>
      <c r="J78" s="67" t="inlineStr">
        <is>
          <t>No requerido</t>
        </is>
      </c>
      <c r="K78" s="67" t="inlineStr">
        <is>
          <t>—</t>
        </is>
      </c>
      <c r="L78" s="67" t="inlineStr">
        <is>
          <t>C1 / IELTS 6.5</t>
        </is>
      </c>
      <c r="M78" s="67" t="inlineStr">
        <is>
          <t>~ene</t>
        </is>
      </c>
      <c r="N78" s="67" t="inlineStr">
        <is>
          <t>Gratis EU/EEA</t>
        </is>
      </c>
      <c r="O78" s="67" t="inlineStr">
        <is>
          <t>★★★★</t>
        </is>
      </c>
      <c r="P78" s="67" t="inlineStr">
        <is>
          <t>★★★</t>
        </is>
      </c>
      <c r="Q78" s="67" t="inlineStr">
        <is>
          <t>https://www.aalto.fi/en/</t>
        </is>
      </c>
    </row>
    <row r="79" ht="23.25" customHeight="1" s="47">
      <c r="A79" s="67" t="inlineStr">
        <is>
          <t>🇫🇷</t>
        </is>
      </c>
      <c r="B79" s="67" t="inlineStr">
        <is>
          <t>Directa</t>
        </is>
      </c>
      <c r="C79" s="67" t="inlineStr">
        <is>
          <t>Paris School of Economics</t>
        </is>
      </c>
      <c r="D79" s="67" t="inlineStr">
        <is>
          <t>Master APE (Analysis &amp; Policy in Economics)</t>
        </is>
      </c>
      <c r="E79" s="67" t="inlineStr">
        <is>
          <t>París</t>
        </is>
      </c>
      <c r="F79" s="67" t="inlineStr">
        <is>
          <t>2 años</t>
        </is>
      </c>
      <c r="G79" s="67" t="inlineStr">
        <is>
          <t>€359</t>
        </is>
      </c>
      <c r="H79" s="67" t="inlineStr">
        <is>
          <t>€15,000</t>
        </is>
      </c>
      <c r="I79" s="67" t="inlineStr">
        <is>
          <t>€15,359</t>
        </is>
      </c>
      <c r="J79" s="67" t="inlineStr">
        <is>
          <t>No requerido</t>
        </is>
      </c>
      <c r="K79" s="67" t="inlineStr">
        <is>
          <t>—</t>
        </is>
      </c>
      <c r="L79" s="67" t="inlineStr">
        <is>
          <t>C1 / IELTS 6.5</t>
        </is>
      </c>
      <c r="M79" s="67" t="inlineStr">
        <is>
          <t>~ene-mar</t>
        </is>
      </c>
      <c r="N79" s="67" t="inlineStr">
        <is>
          <t>PSE Excellence €12,000; Eiffel</t>
        </is>
      </c>
      <c r="O79" s="67" t="inlineStr">
        <is>
          <t>★★★★</t>
        </is>
      </c>
      <c r="P79" s="67" t="inlineStr">
        <is>
          <t>★★★★★</t>
        </is>
      </c>
      <c r="Q79" s="67" t="inlineStr">
        <is>
          <t>https://www.parisschoolofeconomics.eu/en/</t>
        </is>
      </c>
    </row>
    <row r="80" ht="23.25" customHeight="1" s="47">
      <c r="A80" s="67" t="inlineStr">
        <is>
          <t>🇫🇷</t>
        </is>
      </c>
      <c r="B80" s="67" t="inlineStr">
        <is>
          <t>Directa</t>
        </is>
      </c>
      <c r="C80" s="67" t="inlineStr">
        <is>
          <t>Paris School of Economics</t>
        </is>
      </c>
      <c r="D80" s="67" t="inlineStr">
        <is>
          <t>Master PPD (Public Policy &amp; Development)</t>
        </is>
      </c>
      <c r="E80" s="67" t="inlineStr">
        <is>
          <t>París</t>
        </is>
      </c>
      <c r="F80" s="67" t="inlineStr">
        <is>
          <t>2 años</t>
        </is>
      </c>
      <c r="G80" s="67" t="inlineStr">
        <is>
          <t>€359</t>
        </is>
      </c>
      <c r="H80" s="67" t="inlineStr">
        <is>
          <t>€15,000</t>
        </is>
      </c>
      <c r="I80" s="67" t="inlineStr">
        <is>
          <t>€15,359</t>
        </is>
      </c>
      <c r="J80" s="67" t="inlineStr">
        <is>
          <t>No requerido</t>
        </is>
      </c>
      <c r="K80" s="67" t="inlineStr">
        <is>
          <t>—</t>
        </is>
      </c>
      <c r="L80" s="67" t="inlineStr">
        <is>
          <t>C1 / IELTS 6.5</t>
        </is>
      </c>
      <c r="M80" s="67" t="inlineStr">
        <is>
          <t>~ene-mar</t>
        </is>
      </c>
      <c r="N80" s="67" t="inlineStr">
        <is>
          <t>PSE Excellence; Eiffel</t>
        </is>
      </c>
      <c r="O80" s="67" t="inlineStr">
        <is>
          <t>★★</t>
        </is>
      </c>
      <c r="P80" s="67" t="inlineStr">
        <is>
          <t>★★★★★</t>
        </is>
      </c>
      <c r="Q80" s="67" t="inlineStr">
        <is>
          <t>https://www.parisschoolofeconomics.eu/en/</t>
        </is>
      </c>
    </row>
    <row r="81" ht="23.25" customHeight="1" s="47">
      <c r="A81" s="67" t="inlineStr">
        <is>
          <t>🇫🇷</t>
        </is>
      </c>
      <c r="B81" s="67" t="inlineStr">
        <is>
          <t>Directa</t>
        </is>
      </c>
      <c r="C81" s="67" t="inlineStr">
        <is>
          <t>Toulouse School of Economics</t>
        </is>
      </c>
      <c r="D81" s="67" t="inlineStr">
        <is>
          <t>M2 Economics (Econometrics / ETE / Finance)</t>
        </is>
      </c>
      <c r="E81" s="67" t="inlineStr">
        <is>
          <t>Toulouse</t>
        </is>
      </c>
      <c r="F81" s="67" t="inlineStr">
        <is>
          <t>2 años</t>
        </is>
      </c>
      <c r="G81" s="67" t="inlineStr">
        <is>
          <t>€5,754</t>
        </is>
      </c>
      <c r="H81" s="67" t="inlineStr">
        <is>
          <t>€11,000</t>
        </is>
      </c>
      <c r="I81" s="67" t="inlineStr">
        <is>
          <t>€16,754</t>
        </is>
      </c>
      <c r="J81" s="67" t="inlineStr">
        <is>
          <t>No requerido</t>
        </is>
      </c>
      <c r="K81" s="67" t="inlineStr">
        <is>
          <t>—</t>
        </is>
      </c>
      <c r="L81" s="67" t="inlineStr">
        <is>
          <t>C1 / IELTS 6.5</t>
        </is>
      </c>
      <c r="M81" s="67" t="inlineStr">
        <is>
          <t>~mar-abr</t>
        </is>
      </c>
      <c r="N81" s="67" t="inlineStr">
        <is>
          <t>Eiffel; TSE Excellence</t>
        </is>
      </c>
      <c r="O81" s="67" t="inlineStr">
        <is>
          <t>★★★★★</t>
        </is>
      </c>
      <c r="P81" s="67" t="inlineStr">
        <is>
          <t>★★★★</t>
        </is>
      </c>
      <c r="Q81" s="67" t="inlineStr">
        <is>
          <t>https://www.tse-fr.eu/</t>
        </is>
      </c>
    </row>
    <row r="82" ht="23.25" customHeight="1" s="47">
      <c r="A82" s="67" t="inlineStr">
        <is>
          <t>🇫🇷</t>
        </is>
      </c>
      <c r="B82" s="67" t="inlineStr">
        <is>
          <t>Directa</t>
        </is>
      </c>
      <c r="C82" s="67" t="inlineStr">
        <is>
          <t>ENSAE Paris</t>
        </is>
      </c>
      <c r="D82" s="67" t="inlineStr">
        <is>
          <t>MSc Economics / Data Science</t>
        </is>
      </c>
      <c r="E82" s="67" t="inlineStr">
        <is>
          <t>Palaiseau</t>
        </is>
      </c>
      <c r="F82" s="67" t="inlineStr">
        <is>
          <t>2 años</t>
        </is>
      </c>
      <c r="G82" s="67" t="inlineStr">
        <is>
          <t>€3,500</t>
        </is>
      </c>
      <c r="H82" s="67" t="inlineStr">
        <is>
          <t>€14,000</t>
        </is>
      </c>
      <c r="I82" s="67" t="inlineStr">
        <is>
          <t>€17,500</t>
        </is>
      </c>
      <c r="J82" s="67" t="inlineStr">
        <is>
          <t>No requerido</t>
        </is>
      </c>
      <c r="K82" s="67" t="inlineStr">
        <is>
          <t>—</t>
        </is>
      </c>
      <c r="L82" s="67" t="inlineStr">
        <is>
          <t>C1 / IELTS 6.5</t>
        </is>
      </c>
      <c r="M82" s="67" t="inlineStr">
        <is>
          <t>~mar</t>
        </is>
      </c>
      <c r="N82" s="67" t="inlineStr">
        <is>
          <t>Eiffel</t>
        </is>
      </c>
      <c r="O82" s="67" t="inlineStr">
        <is>
          <t>★★★★</t>
        </is>
      </c>
      <c r="P82" s="67" t="inlineStr">
        <is>
          <t>★★★★★</t>
        </is>
      </c>
      <c r="Q82" s="67" t="inlineStr">
        <is>
          <t>https://www.ensae.fr/en/</t>
        </is>
      </c>
    </row>
    <row r="83" ht="23.25" customHeight="1" s="47">
      <c r="A83" s="67" t="inlineStr">
        <is>
          <t>🇫🇷</t>
        </is>
      </c>
      <c r="B83" s="67" t="inlineStr">
        <is>
          <t>Directa</t>
        </is>
      </c>
      <c r="C83" s="67" t="inlineStr">
        <is>
          <t>Sciences Po</t>
        </is>
      </c>
      <c r="D83" s="67" t="inlineStr">
        <is>
          <t>Master in Economics / Int'l Development</t>
        </is>
      </c>
      <c r="E83" s="67" t="inlineStr">
        <is>
          <t>París</t>
        </is>
      </c>
      <c r="F83" s="67" t="inlineStr">
        <is>
          <t>2 años</t>
        </is>
      </c>
      <c r="G83" s="67" t="inlineStr">
        <is>
          <t>€0-19k (según renta)</t>
        </is>
      </c>
      <c r="H83" s="67" t="inlineStr">
        <is>
          <t>€15,000</t>
        </is>
      </c>
      <c r="I83" s="67" t="inlineStr">
        <is>
          <t>var.</t>
        </is>
      </c>
      <c r="J83" s="67" t="inlineStr">
        <is>
          <t>No requerido</t>
        </is>
      </c>
      <c r="K83" s="67" t="inlineStr">
        <is>
          <t>—</t>
        </is>
      </c>
      <c r="L83" s="67" t="inlineStr">
        <is>
          <t>C1 / IELTS 7.0</t>
        </is>
      </c>
      <c r="M83" s="67" t="inlineStr">
        <is>
          <t>~ene-feb</t>
        </is>
      </c>
      <c r="N83" s="67" t="inlineStr">
        <is>
          <t>Becas según renta; Eiffel</t>
        </is>
      </c>
      <c r="O83" s="67" t="inlineStr">
        <is>
          <t>★★★</t>
        </is>
      </c>
      <c r="P83" s="67" t="inlineStr">
        <is>
          <t>★★★★</t>
        </is>
      </c>
      <c r="Q83" s="67" t="inlineStr">
        <is>
          <t>https://www.sciencespo.fr/en/</t>
        </is>
      </c>
    </row>
    <row r="84" ht="23.25" customHeight="1" s="47">
      <c r="A84" s="67" t="inlineStr">
        <is>
          <t>🇧🇪</t>
        </is>
      </c>
      <c r="B84" s="67" t="inlineStr">
        <is>
          <t>Directa</t>
        </is>
      </c>
      <c r="C84" s="67" t="inlineStr">
        <is>
          <t>KU Leuven</t>
        </is>
      </c>
      <c r="D84" s="67" t="inlineStr">
        <is>
          <t>Master of Economics / Adv. Studies in Economics</t>
        </is>
      </c>
      <c r="E84" s="67" t="inlineStr">
        <is>
          <t>Lovaina</t>
        </is>
      </c>
      <c r="F84" s="67" t="inlineStr">
        <is>
          <t>1-2 años</t>
        </is>
      </c>
      <c r="G84" s="67" t="inlineStr">
        <is>
          <t>€1,181</t>
        </is>
      </c>
      <c r="H84" s="67" t="inlineStr">
        <is>
          <t>€11,000</t>
        </is>
      </c>
      <c r="I84" s="67" t="inlineStr">
        <is>
          <t>€12,181</t>
        </is>
      </c>
      <c r="J84" s="67" t="inlineStr">
        <is>
          <t>No requerido</t>
        </is>
      </c>
      <c r="K84" s="67" t="inlineStr">
        <is>
          <t>—</t>
        </is>
      </c>
      <c r="L84" s="67" t="inlineStr">
        <is>
          <t>C1 / IELTS 7.0</t>
        </is>
      </c>
      <c r="M84" s="67" t="inlineStr">
        <is>
          <t>~1 mar</t>
        </is>
      </c>
      <c r="N84" s="67" t="inlineStr">
        <is>
          <t>VLIR-UOS; KU Leuven</t>
        </is>
      </c>
      <c r="O84" s="67" t="inlineStr">
        <is>
          <t>★★★★</t>
        </is>
      </c>
      <c r="P84" s="67" t="inlineStr">
        <is>
          <t>★★★★</t>
        </is>
      </c>
      <c r="Q84" s="67" t="inlineStr">
        <is>
          <t>https://www.kuleuven.be/programmes/master-economics</t>
        </is>
      </c>
    </row>
    <row r="85" ht="23.25" customHeight="1" s="47">
      <c r="A85" s="67" t="inlineStr">
        <is>
          <t>🇧🇪</t>
        </is>
      </c>
      <c r="B85" s="67" t="inlineStr">
        <is>
          <t>Directa</t>
        </is>
      </c>
      <c r="C85" s="67" t="inlineStr">
        <is>
          <t>UCLouvain</t>
        </is>
      </c>
      <c r="D85" s="67" t="inlineStr">
        <is>
          <t>Master in Economics (research)</t>
        </is>
      </c>
      <c r="E85" s="67" t="inlineStr">
        <is>
          <t>Lovaina-la-Neuve</t>
        </is>
      </c>
      <c r="F85" s="67" t="inlineStr">
        <is>
          <t>2 años</t>
        </is>
      </c>
      <c r="G85" s="67" t="inlineStr">
        <is>
          <t>€835</t>
        </is>
      </c>
      <c r="H85" s="67" t="inlineStr">
        <is>
          <t>€11,000</t>
        </is>
      </c>
      <c r="I85" s="67" t="inlineStr">
        <is>
          <t>€11,835</t>
        </is>
      </c>
      <c r="J85" s="67" t="inlineStr">
        <is>
          <t>No requerido</t>
        </is>
      </c>
      <c r="K85" s="67" t="inlineStr">
        <is>
          <t>—</t>
        </is>
      </c>
      <c r="L85" s="67" t="inlineStr">
        <is>
          <t>C1 / IELTS 6.5</t>
        </is>
      </c>
      <c r="M85" s="67" t="inlineStr">
        <is>
          <t>~mar</t>
        </is>
      </c>
      <c r="N85" s="67" t="inlineStr">
        <is>
          <t>ARES; UCLouvain</t>
        </is>
      </c>
      <c r="O85" s="67" t="inlineStr">
        <is>
          <t>★★★</t>
        </is>
      </c>
      <c r="P85" s="67" t="inlineStr">
        <is>
          <t>★★★★</t>
        </is>
      </c>
      <c r="Q85" s="67" t="inlineStr">
        <is>
          <t>https://uclouvain.be/en/</t>
        </is>
      </c>
    </row>
    <row r="86" ht="23.25" customHeight="1" s="47">
      <c r="A86" s="67" t="inlineStr">
        <is>
          <t>🇧🇪</t>
        </is>
      </c>
      <c r="B86" s="67" t="inlineStr">
        <is>
          <t>Directa</t>
        </is>
      </c>
      <c r="C86" s="67" t="inlineStr">
        <is>
          <t>Ghent University</t>
        </is>
      </c>
      <c r="D86" s="67" t="inlineStr">
        <is>
          <t>Master of Economics</t>
        </is>
      </c>
      <c r="E86" s="67" t="inlineStr">
        <is>
          <t>Gante</t>
        </is>
      </c>
      <c r="F86" s="67" t="inlineStr">
        <is>
          <t>2 años</t>
        </is>
      </c>
      <c r="G86" s="67" t="inlineStr">
        <is>
          <t>€1,180</t>
        </is>
      </c>
      <c r="H86" s="67" t="inlineStr">
        <is>
          <t>€10,000</t>
        </is>
      </c>
      <c r="I86" s="67" t="inlineStr">
        <is>
          <t>€11,180</t>
        </is>
      </c>
      <c r="J86" s="67" t="inlineStr">
        <is>
          <t>No requerido</t>
        </is>
      </c>
      <c r="K86" s="67" t="inlineStr">
        <is>
          <t>—</t>
        </is>
      </c>
      <c r="L86" s="67" t="inlineStr">
        <is>
          <t>C1 / IELTS 6.5</t>
        </is>
      </c>
      <c r="M86" s="67" t="inlineStr">
        <is>
          <t>~mar</t>
        </is>
      </c>
      <c r="N86" s="67" t="inlineStr">
        <is>
          <t>Gratis-parcial EU</t>
        </is>
      </c>
      <c r="O86" s="67" t="inlineStr">
        <is>
          <t>★★★</t>
        </is>
      </c>
      <c r="P86" s="67" t="inlineStr">
        <is>
          <t>★★★</t>
        </is>
      </c>
      <c r="Q86" s="67" t="inlineStr">
        <is>
          <t>https://www.ugent.be/en</t>
        </is>
      </c>
    </row>
    <row r="87" ht="23.25" customHeight="1" s="47">
      <c r="A87" s="67" t="inlineStr">
        <is>
          <t>🇨🇭</t>
        </is>
      </c>
      <c r="B87" s="67" t="inlineStr">
        <is>
          <t>Directa</t>
        </is>
      </c>
      <c r="C87" s="67" t="inlineStr">
        <is>
          <t>University of Zurich</t>
        </is>
      </c>
      <c r="D87" s="67" t="inlineStr">
        <is>
          <t>MA in Economics</t>
        </is>
      </c>
      <c r="E87" s="67" t="inlineStr">
        <is>
          <t>Zúrich</t>
        </is>
      </c>
      <c r="F87" s="67" t="inlineStr">
        <is>
          <t>2 años</t>
        </is>
      </c>
      <c r="G87" s="67" t="inlineStr">
        <is>
          <t>~€1,500</t>
        </is>
      </c>
      <c r="H87" s="67" t="inlineStr">
        <is>
          <t>€22,000</t>
        </is>
      </c>
      <c r="I87" s="67" t="inlineStr">
        <is>
          <t>€23,500</t>
        </is>
      </c>
      <c r="J87" s="67" t="inlineStr">
        <is>
          <t>No requerido</t>
        </is>
      </c>
      <c r="K87" s="67" t="inlineStr">
        <is>
          <t>—</t>
        </is>
      </c>
      <c r="L87" s="67" t="inlineStr">
        <is>
          <t>C1 / IELTS 7.0</t>
        </is>
      </c>
      <c r="M87" s="67" t="inlineStr">
        <is>
          <t>~15 mar</t>
        </is>
      </c>
      <c r="N87" s="67" t="inlineStr">
        <is>
          <t>UBS Center; mérito</t>
        </is>
      </c>
      <c r="O87" s="67" t="inlineStr">
        <is>
          <t>★★★★★</t>
        </is>
      </c>
      <c r="P87" s="67" t="inlineStr">
        <is>
          <t>★★★★</t>
        </is>
      </c>
      <c r="Q87" s="67" t="inlineStr">
        <is>
          <t>https://www.oec.uzh.ch/en.html</t>
        </is>
      </c>
    </row>
    <row r="88" ht="23.25" customHeight="1" s="47">
      <c r="A88" s="67" t="inlineStr">
        <is>
          <t>🇨🇭</t>
        </is>
      </c>
      <c r="B88" s="67" t="inlineStr">
        <is>
          <t>Directa</t>
        </is>
      </c>
      <c r="C88" s="67" t="inlineStr">
        <is>
          <t>ETH Zurich</t>
        </is>
      </c>
      <c r="D88" s="67" t="inlineStr">
        <is>
          <t>MSc Management, Technology &amp; Economics</t>
        </is>
      </c>
      <c r="E88" s="67" t="inlineStr">
        <is>
          <t>Zúrich</t>
        </is>
      </c>
      <c r="F88" s="67" t="inlineStr">
        <is>
          <t>2 años</t>
        </is>
      </c>
      <c r="G88" s="67" t="inlineStr">
        <is>
          <t>~€1,460</t>
        </is>
      </c>
      <c r="H88" s="67" t="inlineStr">
        <is>
          <t>€22,000</t>
        </is>
      </c>
      <c r="I88" s="67" t="inlineStr">
        <is>
          <t>€23,460</t>
        </is>
      </c>
      <c r="J88" s="67" t="inlineStr">
        <is>
          <t>No requerido</t>
        </is>
      </c>
      <c r="K88" s="67" t="inlineStr">
        <is>
          <t>—</t>
        </is>
      </c>
      <c r="L88" s="67" t="inlineStr">
        <is>
          <t>C1 / IELTS 7.0</t>
        </is>
      </c>
      <c r="M88" s="67" t="inlineStr">
        <is>
          <t>~15 dic</t>
        </is>
      </c>
      <c r="N88" s="67" t="inlineStr">
        <is>
          <t>ESOP; mérito</t>
        </is>
      </c>
      <c r="O88" s="67" t="inlineStr">
        <is>
          <t>★★★★</t>
        </is>
      </c>
      <c r="P88" s="67" t="inlineStr">
        <is>
          <t>★★★</t>
        </is>
      </c>
      <c r="Q88" s="67" t="inlineStr">
        <is>
          <t>https://ethz.ch/en</t>
        </is>
      </c>
    </row>
    <row r="89" ht="34.5" customHeight="1" s="47">
      <c r="A89" s="75" t="inlineStr">
        <is>
          <t>🇨🇭</t>
        </is>
      </c>
      <c r="B89" s="75" t="inlineStr">
        <is>
          <t>Directa</t>
        </is>
      </c>
      <c r="C89" s="75" t="inlineStr">
        <is>
          <t>University of St. Gallen (HSG)</t>
        </is>
      </c>
      <c r="D89" s="75" t="inlineStr">
        <is>
          <t>MEcon (Master in Economics)</t>
        </is>
      </c>
      <c r="E89" s="75" t="inlineStr">
        <is>
          <t>St. Gallen</t>
        </is>
      </c>
      <c r="F89" s="75" t="inlineStr">
        <is>
          <t>1.5 años</t>
        </is>
      </c>
      <c r="G89" s="75" t="inlineStr">
        <is>
          <t>~€7,100</t>
        </is>
      </c>
      <c r="H89" s="75" t="inlineStr">
        <is>
          <t>€20,000</t>
        </is>
      </c>
      <c r="I89" s="75" t="inlineStr">
        <is>
          <t>€27,100</t>
        </is>
      </c>
      <c r="J89" s="75" t="inlineStr">
        <is>
          <t>Opcional PERO pesa 25% de la admisión; sin test el GPA cuenta doble — cuasi necesario p/ internacionales</t>
        </is>
      </c>
      <c r="K89" s="75" t="inlineStr">
        <is>
          <t>Q ≥160 (rec. fuerte)</t>
        </is>
      </c>
      <c r="L89" s="75" t="inlineStr">
        <is>
          <t>C1 / IELTS 7.0</t>
        </is>
      </c>
      <c r="M89" s="75" t="inlineStr">
        <is>
          <t>~30 abr</t>
        </is>
      </c>
      <c r="N89" s="75" t="inlineStr">
        <is>
          <t>HSG merit</t>
        </is>
      </c>
      <c r="O89" s="75" t="inlineStr">
        <is>
          <t>★★★★</t>
        </is>
      </c>
      <c r="P89" s="75" t="inlineStr">
        <is>
          <t>★★★</t>
        </is>
      </c>
      <c r="Q89" s="75" t="inlineStr">
        <is>
          <t>https://www.unisg.ch/en/</t>
        </is>
      </c>
    </row>
    <row r="90" ht="23.25" customHeight="1" s="47">
      <c r="A90" s="67" t="inlineStr">
        <is>
          <t>🇨🇭</t>
        </is>
      </c>
      <c r="B90" s="67" t="inlineStr">
        <is>
          <t>Directa</t>
        </is>
      </c>
      <c r="C90" s="67" t="inlineStr">
        <is>
          <t>Graduate Institute Geneva</t>
        </is>
      </c>
      <c r="D90" s="67" t="inlineStr">
        <is>
          <t>MA in International Economics</t>
        </is>
      </c>
      <c r="E90" s="67" t="inlineStr">
        <is>
          <t>Ginebra</t>
        </is>
      </c>
      <c r="F90" s="67" t="inlineStr">
        <is>
          <t>2 años</t>
        </is>
      </c>
      <c r="G90" s="67" t="inlineStr">
        <is>
          <t>~€4,000</t>
        </is>
      </c>
      <c r="H90" s="67" t="inlineStr">
        <is>
          <t>€20,000</t>
        </is>
      </c>
      <c r="I90" s="67" t="inlineStr">
        <is>
          <t>€24,000</t>
        </is>
      </c>
      <c r="J90" s="67" t="inlineStr">
        <is>
          <t>No requerido</t>
        </is>
      </c>
      <c r="K90" s="67" t="inlineStr">
        <is>
          <t>—</t>
        </is>
      </c>
      <c r="L90" s="67" t="inlineStr">
        <is>
          <t>C1 / IELTS 7.0</t>
        </is>
      </c>
      <c r="M90" s="67" t="inlineStr">
        <is>
          <t>~15 ene</t>
        </is>
      </c>
      <c r="N90" s="67" t="inlineStr">
        <is>
          <t>Geneva scholarships</t>
        </is>
      </c>
      <c r="O90" s="67" t="inlineStr">
        <is>
          <t>★★★</t>
        </is>
      </c>
      <c r="P90" s="67" t="inlineStr">
        <is>
          <t>★★★★★</t>
        </is>
      </c>
      <c r="Q90" s="67" t="inlineStr">
        <is>
          <t>https://www.graduateinstitute.ch/</t>
        </is>
      </c>
    </row>
    <row r="91" ht="23.25" customHeight="1" s="47">
      <c r="A91" s="67" t="inlineStr">
        <is>
          <t>🇦🇹</t>
        </is>
      </c>
      <c r="B91" s="67" t="inlineStr">
        <is>
          <t>Directa</t>
        </is>
      </c>
      <c r="C91" s="67" t="inlineStr">
        <is>
          <t>Central European University (CEU)</t>
        </is>
      </c>
      <c r="D91" s="67" t="inlineStr">
        <is>
          <t>MA in Economics</t>
        </is>
      </c>
      <c r="E91" s="67" t="inlineStr">
        <is>
          <t>Viena</t>
        </is>
      </c>
      <c r="F91" s="67" t="inlineStr">
        <is>
          <t>2 años</t>
        </is>
      </c>
      <c r="G91" s="67" t="inlineStr">
        <is>
          <t>€12,000 (waivers!)</t>
        </is>
      </c>
      <c r="H91" s="67" t="inlineStr">
        <is>
          <t>€13,000</t>
        </is>
      </c>
      <c r="I91" s="67" t="inlineStr">
        <is>
          <t>€13,000 (con beca)</t>
        </is>
      </c>
      <c r="J91" s="67" t="inlineStr">
        <is>
          <t>No requerido</t>
        </is>
      </c>
      <c r="K91" s="67" t="inlineStr">
        <is>
          <t>—</t>
        </is>
      </c>
      <c r="L91" s="67" t="inlineStr">
        <is>
          <t>C1 / IELTS 6.5</t>
        </is>
      </c>
      <c r="M91" s="67" t="inlineStr">
        <is>
          <t>~4 feb</t>
        </is>
      </c>
      <c r="N91" s="67" t="inlineStr">
        <is>
          <t>★ Full waiver + €10,000/año a top; Hantos (LATAM/argentinos)</t>
        </is>
      </c>
      <c r="O91" s="67" t="inlineStr">
        <is>
          <t>★★★★</t>
        </is>
      </c>
      <c r="P91" s="67" t="inlineStr">
        <is>
          <t>★★★★★</t>
        </is>
      </c>
      <c r="Q91" s="67" t="inlineStr">
        <is>
          <t>https://economics.ceu.edu/</t>
        </is>
      </c>
    </row>
    <row r="92" ht="23.25" customHeight="1" s="47">
      <c r="A92" s="67" t="inlineStr">
        <is>
          <t>🇦🇹</t>
        </is>
      </c>
      <c r="B92" s="67" t="inlineStr">
        <is>
          <t>Directa</t>
        </is>
      </c>
      <c r="C92" s="67" t="inlineStr">
        <is>
          <t>University of Vienna</t>
        </is>
      </c>
      <c r="D92" s="67" t="inlineStr">
        <is>
          <t>MSc Economics (VGSE)</t>
        </is>
      </c>
      <c r="E92" s="67" t="inlineStr">
        <is>
          <t>Viena</t>
        </is>
      </c>
      <c r="F92" s="67" t="inlineStr">
        <is>
          <t>2 años</t>
        </is>
      </c>
      <c r="G92" s="67" t="inlineStr">
        <is>
          <t>€726</t>
        </is>
      </c>
      <c r="H92" s="67" t="inlineStr">
        <is>
          <t>€12,000</t>
        </is>
      </c>
      <c r="I92" s="67" t="inlineStr">
        <is>
          <t>€12,726</t>
        </is>
      </c>
      <c r="J92" s="67" t="inlineStr">
        <is>
          <t>No requerido</t>
        </is>
      </c>
      <c r="K92" s="67" t="inlineStr">
        <is>
          <t>—</t>
        </is>
      </c>
      <c r="L92" s="67" t="inlineStr">
        <is>
          <t>C1 / IELTS 6.5</t>
        </is>
      </c>
      <c r="M92" s="67" t="inlineStr">
        <is>
          <t>~mar-may</t>
        </is>
      </c>
      <c r="N92" s="67" t="inlineStr">
        <is>
          <t>OeAD; uni:docs</t>
        </is>
      </c>
      <c r="O92" s="67" t="inlineStr">
        <is>
          <t>★★★</t>
        </is>
      </c>
      <c r="P92" s="67" t="inlineStr">
        <is>
          <t>★★★★</t>
        </is>
      </c>
      <c r="Q92" s="67" t="inlineStr">
        <is>
          <t>https://economics.univie.ac.at/en/</t>
        </is>
      </c>
    </row>
    <row r="93" ht="23.25" customHeight="1" s="47">
      <c r="A93" s="67" t="inlineStr">
        <is>
          <t>🇦🇹</t>
        </is>
      </c>
      <c r="B93" s="67" t="inlineStr">
        <is>
          <t>Directa</t>
        </is>
      </c>
      <c r="C93" s="67" t="inlineStr">
        <is>
          <t>WU Vienna (Econ &amp; Business)</t>
        </is>
      </c>
      <c r="D93" s="67" t="inlineStr">
        <is>
          <t>MSc Economics</t>
        </is>
      </c>
      <c r="E93" s="67" t="inlineStr">
        <is>
          <t>Viena</t>
        </is>
      </c>
      <c r="F93" s="67" t="inlineStr">
        <is>
          <t>2 años</t>
        </is>
      </c>
      <c r="G93" s="67" t="inlineStr">
        <is>
          <t>€726</t>
        </is>
      </c>
      <c r="H93" s="67" t="inlineStr">
        <is>
          <t>€12,000</t>
        </is>
      </c>
      <c r="I93" s="67" t="inlineStr">
        <is>
          <t>€12,726</t>
        </is>
      </c>
      <c r="J93" s="67" t="inlineStr">
        <is>
          <t>No requerido</t>
        </is>
      </c>
      <c r="K93" s="67" t="inlineStr">
        <is>
          <t>—</t>
        </is>
      </c>
      <c r="L93" s="67" t="inlineStr">
        <is>
          <t>C1 / IELTS 6.5</t>
        </is>
      </c>
      <c r="M93" s="67" t="inlineStr">
        <is>
          <t>~mar</t>
        </is>
      </c>
      <c r="N93" s="67" t="inlineStr">
        <is>
          <t>WU merit</t>
        </is>
      </c>
      <c r="O93" s="67" t="inlineStr">
        <is>
          <t>★★★★</t>
        </is>
      </c>
      <c r="P93" s="67" t="inlineStr">
        <is>
          <t>★★★</t>
        </is>
      </c>
      <c r="Q93" s="67" t="inlineStr">
        <is>
          <t>https://www.wu.ac.at/en/</t>
        </is>
      </c>
    </row>
    <row r="94" ht="23.25" customHeight="1" s="47">
      <c r="A94" s="67" t="inlineStr">
        <is>
          <t>🇮🇹</t>
        </is>
      </c>
      <c r="B94" s="67" t="inlineStr">
        <is>
          <t>Directa</t>
        </is>
      </c>
      <c r="C94" s="67" t="inlineStr">
        <is>
          <t>Bocconi University</t>
        </is>
      </c>
      <c r="D94" s="67" t="inlineStr">
        <is>
          <t>MSc Economic &amp; Social Sciences (ESS) / Econ &amp; Mgmt of Govt</t>
        </is>
      </c>
      <c r="E94" s="67" t="inlineStr">
        <is>
          <t>Milán</t>
        </is>
      </c>
      <c r="F94" s="67" t="inlineStr">
        <is>
          <t>2 años</t>
        </is>
      </c>
      <c r="G94" s="67" t="inlineStr">
        <is>
          <t>~€14,000-18,000</t>
        </is>
      </c>
      <c r="H94" s="67" t="inlineStr">
        <is>
          <t>€15,000</t>
        </is>
      </c>
      <c r="I94" s="67" t="inlineStr">
        <is>
          <t>~€30,000</t>
        </is>
      </c>
      <c r="J94" s="67" t="inlineStr">
        <is>
          <t>GMAT/GRE/test Bocconi OBLIGATORIO p/ internacionales — equiv. GMAT 600</t>
        </is>
      </c>
      <c r="K94" s="67" t="inlineStr">
        <is>
          <t>~Q158-160 (equiv. GMAT 600)</t>
        </is>
      </c>
      <c r="L94" s="67" t="inlineStr">
        <is>
          <t>C1 / IELTS 7.0</t>
        </is>
      </c>
      <c r="M94" s="67" t="inlineStr">
        <is>
          <t>~ene-may (rondas)</t>
        </is>
      </c>
      <c r="N94" s="67" t="inlineStr">
        <is>
          <t>Bocconi Merit Award (hasta 100%)</t>
        </is>
      </c>
      <c r="O94" s="67" t="inlineStr">
        <is>
          <t>★★★★</t>
        </is>
      </c>
      <c r="P94" s="67" t="inlineStr">
        <is>
          <t>★★★★</t>
        </is>
      </c>
      <c r="Q94" s="67" t="inlineStr">
        <is>
          <t>https://www.unibocconi.eu/</t>
        </is>
      </c>
    </row>
    <row r="95" ht="23.25" customHeight="1" s="47">
      <c r="A95" s="67" t="inlineStr">
        <is>
          <t>🇮🇹</t>
        </is>
      </c>
      <c r="B95" s="67" t="inlineStr">
        <is>
          <t>Directa</t>
        </is>
      </c>
      <c r="C95" s="67" t="inlineStr">
        <is>
          <t>Collegio Carlo Alberto (Turín)</t>
        </is>
      </c>
      <c r="D95" s="67" t="inlineStr">
        <is>
          <t>MSc in Economics</t>
        </is>
      </c>
      <c r="E95" s="67" t="inlineStr">
        <is>
          <t>Turín</t>
        </is>
      </c>
      <c r="F95" s="67" t="inlineStr">
        <is>
          <t>2 años</t>
        </is>
      </c>
      <c r="G95" s="67" t="inlineStr">
        <is>
          <t>€9,571 (waivers)</t>
        </is>
      </c>
      <c r="H95" s="67" t="inlineStr">
        <is>
          <t>€11,000</t>
        </is>
      </c>
      <c r="I95" s="67" t="inlineStr">
        <is>
          <t>€11,000-20,000</t>
        </is>
      </c>
      <c r="J95" s="67" t="inlineStr">
        <is>
          <t>No requerido</t>
        </is>
      </c>
      <c r="K95" s="67" t="inlineStr">
        <is>
          <t>—</t>
        </is>
      </c>
      <c r="L95" s="67" t="inlineStr">
        <is>
          <t>C1 / IELTS 6.5</t>
        </is>
      </c>
      <c r="M95" s="67" t="inlineStr">
        <is>
          <t>~mar-may</t>
        </is>
      </c>
      <c r="N95" s="67" t="inlineStr">
        <is>
          <t>Tuition waivers por mérito</t>
        </is>
      </c>
      <c r="O95" s="67" t="inlineStr">
        <is>
          <t>★★★★</t>
        </is>
      </c>
      <c r="P95" s="67" t="inlineStr">
        <is>
          <t>★★★★</t>
        </is>
      </c>
      <c r="Q95" s="67" t="inlineStr">
        <is>
          <t>https://www.carloalberto.org/education/master-in-economics/</t>
        </is>
      </c>
    </row>
    <row r="96" ht="23.25" customHeight="1" s="47">
      <c r="A96" s="67" t="inlineStr">
        <is>
          <t>🇮🇹</t>
        </is>
      </c>
      <c r="B96" s="67" t="inlineStr">
        <is>
          <t>Directa</t>
        </is>
      </c>
      <c r="C96" s="67" t="inlineStr">
        <is>
          <t>University of Bologna</t>
        </is>
      </c>
      <c r="D96" s="67" t="inlineStr">
        <is>
          <t>MSc Economics</t>
        </is>
      </c>
      <c r="E96" s="67" t="inlineStr">
        <is>
          <t>Bolonia</t>
        </is>
      </c>
      <c r="F96" s="67" t="inlineStr">
        <is>
          <t>2 años</t>
        </is>
      </c>
      <c r="G96" s="67" t="inlineStr">
        <is>
          <t>€0-3,000 (ISEE)</t>
        </is>
      </c>
      <c r="H96" s="67" t="inlineStr">
        <is>
          <t>€10,000</t>
        </is>
      </c>
      <c r="I96" s="67" t="inlineStr">
        <is>
          <t>€10,000-13,000</t>
        </is>
      </c>
      <c r="J96" s="67" t="inlineStr">
        <is>
          <t>No requerido</t>
        </is>
      </c>
      <c r="K96" s="67" t="inlineStr">
        <is>
          <t>—</t>
        </is>
      </c>
      <c r="L96" s="67" t="inlineStr">
        <is>
          <t>C1 / IELTS 6.0</t>
        </is>
      </c>
      <c r="M96" s="67" t="inlineStr">
        <is>
          <t>~mar-may</t>
        </is>
      </c>
      <c r="N96" s="67" t="inlineStr">
        <is>
          <t>ER-GO regional</t>
        </is>
      </c>
      <c r="O96" s="67" t="inlineStr">
        <is>
          <t>★★★</t>
        </is>
      </c>
      <c r="P96" s="67" t="inlineStr">
        <is>
          <t>★★★</t>
        </is>
      </c>
      <c r="Q96" s="67" t="inlineStr">
        <is>
          <t>https://www.unibo.it/en</t>
        </is>
      </c>
    </row>
    <row r="97" ht="23.25" customHeight="1" s="47">
      <c r="A97" s="75" t="inlineStr">
        <is>
          <t>🇵🇹</t>
        </is>
      </c>
      <c r="B97" s="75" t="inlineStr">
        <is>
          <t>Directa</t>
        </is>
      </c>
      <c r="C97" s="75" t="inlineStr">
        <is>
          <t>Nova SBE</t>
        </is>
      </c>
      <c r="D97" s="75" t="inlineStr">
        <is>
          <t>Master in Economics / Finance</t>
        </is>
      </c>
      <c r="E97" s="75" t="inlineStr">
        <is>
          <t>Lisboa</t>
        </is>
      </c>
      <c r="F97" s="75" t="inlineStr">
        <is>
          <t>2 años</t>
        </is>
      </c>
      <c r="G97" s="75" t="inlineStr">
        <is>
          <t>€3,500</t>
        </is>
      </c>
      <c r="H97" s="75" t="inlineStr">
        <is>
          <t>€11,000</t>
        </is>
      </c>
      <c r="I97" s="75" t="inlineStr">
        <is>
          <t>€14,500</t>
        </is>
      </c>
      <c r="J97" s="75" t="inlineStr">
        <is>
          <t>Opcional recomendado (GMAT medio admitidos ~650)</t>
        </is>
      </c>
      <c r="K97" s="75" t="inlineStr">
        <is>
          <t>opcional</t>
        </is>
      </c>
      <c r="L97" s="75" t="inlineStr">
        <is>
          <t>C1 / IELTS 6.5</t>
        </is>
      </c>
      <c r="M97" s="75" t="inlineStr">
        <is>
          <t>~rondas</t>
        </is>
      </c>
      <c r="N97" s="75" t="inlineStr">
        <is>
          <t>Nova merit/need</t>
        </is>
      </c>
      <c r="O97" s="75" t="inlineStr">
        <is>
          <t>★★★★</t>
        </is>
      </c>
      <c r="P97" s="75" t="inlineStr">
        <is>
          <t>★★★★</t>
        </is>
      </c>
      <c r="Q97" s="75" t="inlineStr">
        <is>
          <t>https://www.novasbe.unl.pt/en/</t>
        </is>
      </c>
    </row>
    <row r="98" ht="23.25" customHeight="1" s="47">
      <c r="A98" s="67" t="inlineStr">
        <is>
          <t>🇵🇹</t>
        </is>
      </c>
      <c r="B98" s="67" t="inlineStr">
        <is>
          <t>Directa</t>
        </is>
      </c>
      <c r="C98" s="67" t="inlineStr">
        <is>
          <t>ISEG / Católica Lisbon</t>
        </is>
      </c>
      <c r="D98" s="67" t="inlineStr">
        <is>
          <t>Master in Monetary &amp; Financial Economics</t>
        </is>
      </c>
      <c r="E98" s="67" t="inlineStr">
        <is>
          <t>Lisboa</t>
        </is>
      </c>
      <c r="F98" s="67" t="inlineStr">
        <is>
          <t>2 años</t>
        </is>
      </c>
      <c r="G98" s="67" t="inlineStr">
        <is>
          <t>~€3,000-7,000</t>
        </is>
      </c>
      <c r="H98" s="67" t="inlineStr">
        <is>
          <t>€10,000</t>
        </is>
      </c>
      <c r="I98" s="67" t="inlineStr">
        <is>
          <t>€13,000-17,000</t>
        </is>
      </c>
      <c r="J98" s="67" t="inlineStr">
        <is>
          <t>No requerido</t>
        </is>
      </c>
      <c r="K98" s="67" t="inlineStr">
        <is>
          <t>—</t>
        </is>
      </c>
      <c r="L98" s="67" t="inlineStr">
        <is>
          <t>C1 / IELTS 6.5</t>
        </is>
      </c>
      <c r="M98" s="67" t="inlineStr">
        <is>
          <t>~rondas</t>
        </is>
      </c>
      <c r="N98" s="67" t="inlineStr">
        <is>
          <t>Becas parciales</t>
        </is>
      </c>
      <c r="O98" s="67" t="inlineStr">
        <is>
          <t>★★★★</t>
        </is>
      </c>
      <c r="P98" s="67" t="inlineStr">
        <is>
          <t>★★</t>
        </is>
      </c>
      <c r="Q98" s="67" t="inlineStr">
        <is>
          <t>https://www.iseg.ulisboa.pt/</t>
        </is>
      </c>
    </row>
    <row r="99" ht="23.25" customHeight="1" s="47">
      <c r="A99" s="67" t="inlineStr">
        <is>
          <t>🇮🇪</t>
        </is>
      </c>
      <c r="B99" s="67" t="inlineStr">
        <is>
          <t>Directa</t>
        </is>
      </c>
      <c r="C99" s="67" t="inlineStr">
        <is>
          <t>Trinity College Dublin</t>
        </is>
      </c>
      <c r="D99" s="67" t="inlineStr">
        <is>
          <t>MSc Economics</t>
        </is>
      </c>
      <c r="E99" s="67" t="inlineStr">
        <is>
          <t>Dublín</t>
        </is>
      </c>
      <c r="F99" s="67" t="inlineStr">
        <is>
          <t>1 año</t>
        </is>
      </c>
      <c r="G99" s="67" t="inlineStr">
        <is>
          <t>~€19,000</t>
        </is>
      </c>
      <c r="H99" s="67" t="inlineStr">
        <is>
          <t>€15,000</t>
        </is>
      </c>
      <c r="I99" s="67" t="inlineStr">
        <is>
          <t>€34,000</t>
        </is>
      </c>
      <c r="J99" s="67" t="inlineStr">
        <is>
          <t>No requerido</t>
        </is>
      </c>
      <c r="K99" s="67" t="inlineStr">
        <is>
          <t>—</t>
        </is>
      </c>
      <c r="L99" s="67" t="inlineStr">
        <is>
          <t>C1 / IELTS 6.5</t>
        </is>
      </c>
      <c r="M99" s="67" t="inlineStr">
        <is>
          <t>~rolling</t>
        </is>
      </c>
      <c r="N99" s="67" t="inlineStr">
        <is>
          <t>Trinity/Provost (limitadas)</t>
        </is>
      </c>
      <c r="O99" s="67" t="inlineStr">
        <is>
          <t>★★★</t>
        </is>
      </c>
      <c r="P99" s="67" t="inlineStr">
        <is>
          <t>★★★</t>
        </is>
      </c>
      <c r="Q99" s="67" t="inlineStr">
        <is>
          <t>https://www.tcd.ie/</t>
        </is>
      </c>
    </row>
    <row r="100" ht="57" customHeight="1" s="47">
      <c r="A100" s="67" t="inlineStr">
        <is>
          <t>🇪🇺</t>
        </is>
      </c>
      <c r="B100" s="67" t="inlineStr">
        <is>
          <t>Directa</t>
        </is>
      </c>
      <c r="C100" s="67" t="inlineStr">
        <is>
          <t>QEM (consorcio)</t>
        </is>
      </c>
      <c r="D100" s="67" t="inlineStr">
        <is>
          <t>Models &amp; Methods of Quantitative Economics</t>
        </is>
      </c>
      <c r="E100" s="67" t="inlineStr">
        <is>
          <t>París · Barcelona (UAB) · Venecia · Bielefeld</t>
        </is>
      </c>
      <c r="F100" s="67" t="inlineStr">
        <is>
          <t>2 años</t>
        </is>
      </c>
      <c r="G100" s="67" t="inlineStr">
        <is>
          <t>€0 (con beca EM)</t>
        </is>
      </c>
      <c r="H100" s="67" t="inlineStr">
        <is>
          <t>cubierto</t>
        </is>
      </c>
      <c r="I100" s="67" t="inlineStr">
        <is>
          <t>€0 (+estipendio)</t>
        </is>
      </c>
      <c r="J100" s="67" t="inlineStr">
        <is>
          <t>No requerido (verificado jul-2026)</t>
        </is>
      </c>
      <c r="K100" s="67" t="inlineStr">
        <is>
          <t>—</t>
        </is>
      </c>
      <c r="L100" s="67" t="inlineStr">
        <is>
          <t>C1 / IELTS 6.5</t>
        </is>
      </c>
      <c r="M100" s="67" t="inlineStr">
        <is>
          <t>~ene (beca) / mar</t>
        </is>
      </c>
      <c r="N100" s="67" t="inlineStr">
        <is>
          <t>★ Erasmus Mundus: €1,400/mes + matrícula</t>
        </is>
      </c>
      <c r="O100" s="67" t="inlineStr">
        <is>
          <t>★★★★★</t>
        </is>
      </c>
      <c r="P100" s="67" t="inlineStr">
        <is>
          <t>★★★★★</t>
        </is>
      </c>
      <c r="Q100" s="67" t="inlineStr">
        <is>
          <t>https://master-economics-qem.eu/</t>
        </is>
      </c>
    </row>
    <row r="101" ht="23.25" customHeight="1" s="47">
      <c r="A101" s="67" t="inlineStr">
        <is>
          <t>🇪🇺</t>
        </is>
      </c>
      <c r="B101" s="67" t="inlineStr">
        <is>
          <t>Directa</t>
        </is>
      </c>
      <c r="C101" s="67" t="inlineStr">
        <is>
          <t>EPOG+ (consorcio)</t>
        </is>
      </c>
      <c r="D101" s="67" t="inlineStr">
        <is>
          <t>Economic Policies for the Global transition</t>
        </is>
      </c>
      <c r="E101" s="67" t="inlineStr">
        <is>
          <t>París · Berlín · Turín · otros</t>
        </is>
      </c>
      <c r="F101" s="67" t="inlineStr">
        <is>
          <t>2 años</t>
        </is>
      </c>
      <c r="G101" s="67" t="inlineStr">
        <is>
          <t>€0 (con beca EM)</t>
        </is>
      </c>
      <c r="H101" s="67" t="inlineStr">
        <is>
          <t>cubierto</t>
        </is>
      </c>
      <c r="I101" s="67" t="inlineStr">
        <is>
          <t>€0 (+estipendio)</t>
        </is>
      </c>
      <c r="J101" s="67" t="inlineStr">
        <is>
          <t>No requerido</t>
        </is>
      </c>
      <c r="K101" s="67" t="inlineStr">
        <is>
          <t>—</t>
        </is>
      </c>
      <c r="L101" s="67" t="inlineStr">
        <is>
          <t>C1 / IELTS 6.5</t>
        </is>
      </c>
      <c r="M101" s="67" t="inlineStr">
        <is>
          <t>~ene (beca)</t>
        </is>
      </c>
      <c r="N101" s="67" t="inlineStr">
        <is>
          <t>★ Erasmus Mundus: €1,400/mes + matrícula</t>
        </is>
      </c>
      <c r="O101" s="67" t="inlineStr">
        <is>
          <t>★★★</t>
        </is>
      </c>
      <c r="P101" s="67" t="inlineStr">
        <is>
          <t>★★★★</t>
        </is>
      </c>
      <c r="Q101" s="67" t="inlineStr">
        <is>
          <t>https://www.epog.eu/</t>
        </is>
      </c>
    </row>
    <row r="102" ht="23.25" customHeight="1" s="47">
      <c r="A102" s="76" t="inlineStr">
        <is>
          <t>UK</t>
        </is>
      </c>
      <c r="B102" s="76" t="inlineStr">
        <is>
          <t>Directa</t>
        </is>
      </c>
      <c r="C102" s="76" t="inlineStr">
        <is>
          <t>LSE</t>
        </is>
      </c>
      <c r="D102" s="76" t="inlineStr">
        <is>
          <t>MSc Economics</t>
        </is>
      </c>
      <c r="E102" s="76" t="inlineStr">
        <is>
          <t>Londres</t>
        </is>
      </c>
      <c r="F102" s="76" t="inlineStr">
        <is>
          <t>10 meses</t>
        </is>
      </c>
      <c r="G102" s="76" t="inlineStr">
        <is>
          <t>~£40,000 (confirmar)</t>
        </is>
      </c>
      <c r="H102" s="76" t="inlineStr">
        <is>
          <t>£18,000</t>
        </is>
      </c>
      <c r="I102" s="76" t="inlineStr">
        <is>
          <t>~£58,000</t>
        </is>
      </c>
      <c r="J102" s="77" t="inlineStr">
        <is>
          <t>GRE REQUERIDO (título no-UK, &lt;5 años, 3 secciones) — esperan Q ≥164</t>
        </is>
      </c>
      <c r="K102" s="78" t="inlineStr">
        <is>
          <t>Q ≥164</t>
        </is>
      </c>
      <c r="L102" s="76" t="inlineStr">
        <is>
          <t>7.0</t>
        </is>
      </c>
      <c r="M102" s="76" t="inlineStr">
        <is>
          <t>Rolling desde oct (cierra temprano)</t>
        </is>
      </c>
      <c r="N102" s="76" t="inlineStr">
        <is>
          <t>LSE Graduate Support Scheme; Chevening</t>
        </is>
      </c>
      <c r="O102" s="76" t="inlineStr">
        <is>
          <t>★★★★★</t>
        </is>
      </c>
      <c r="P102" s="76" t="inlineStr">
        <is>
          <t>★★★★</t>
        </is>
      </c>
      <c r="Q102" s="76" t="inlineStr">
        <is>
          <t>https://www.lse.ac.uk/study-at-lse/graduate/msc-economics</t>
        </is>
      </c>
    </row>
    <row r="103" ht="23.25" customHeight="1" s="47">
      <c r="A103" s="76" t="inlineStr">
        <is>
          <t>UK</t>
        </is>
      </c>
      <c r="B103" s="76" t="inlineStr">
        <is>
          <t>Directa</t>
        </is>
      </c>
      <c r="C103" s="76" t="inlineStr">
        <is>
          <t>LSE</t>
        </is>
      </c>
      <c r="D103" s="76" t="inlineStr">
        <is>
          <t>MSc Finance &amp; Economics</t>
        </is>
      </c>
      <c r="E103" s="76" t="inlineStr">
        <is>
          <t>Londres</t>
        </is>
      </c>
      <c r="F103" s="76" t="inlineStr">
        <is>
          <t>10 meses</t>
        </is>
      </c>
      <c r="G103" s="76" t="inlineStr">
        <is>
          <t>~£43,000 (confirmar)</t>
        </is>
      </c>
      <c r="H103" s="76" t="inlineStr">
        <is>
          <t>£18,000</t>
        </is>
      </c>
      <c r="I103" s="76" t="inlineStr">
        <is>
          <t>~£61,000</t>
        </is>
      </c>
      <c r="J103" s="77" t="inlineStr">
        <is>
          <t>GRE/GMAT REQUERIDO (título no-UK) — Q ≥160; competitivo Q165+</t>
        </is>
      </c>
      <c r="K103" s="78" t="inlineStr">
        <is>
          <t>Q ≥160 (ideal 165)</t>
        </is>
      </c>
      <c r="L103" s="76" t="inlineStr">
        <is>
          <t>7.0</t>
        </is>
      </c>
      <c r="M103" s="76" t="inlineStr">
        <is>
          <t>Rolling desde oct</t>
        </is>
      </c>
      <c r="N103" s="76" t="inlineStr">
        <is>
          <t>LSE GSS; Chevening</t>
        </is>
      </c>
      <c r="O103" s="76" t="inlineStr">
        <is>
          <t>★★★★★</t>
        </is>
      </c>
      <c r="P103" s="76" t="inlineStr">
        <is>
          <t>★★</t>
        </is>
      </c>
      <c r="Q103" s="76" t="inlineStr">
        <is>
          <t>https://www.lse.ac.uk/study-at-lse/graduate/msc-finance-and-economics</t>
        </is>
      </c>
    </row>
    <row r="104" ht="34.5" customHeight="1" s="47">
      <c r="A104" s="76" t="inlineStr">
        <is>
          <t>UK</t>
        </is>
      </c>
      <c r="B104" s="76" t="inlineStr">
        <is>
          <t>Directa</t>
        </is>
      </c>
      <c r="C104" s="76" t="inlineStr">
        <is>
          <t>Oxford</t>
        </is>
      </c>
      <c r="D104" s="76" t="inlineStr">
        <is>
          <t>MSc Economics for Development</t>
        </is>
      </c>
      <c r="E104" s="76" t="inlineStr">
        <is>
          <t>Oxford</t>
        </is>
      </c>
      <c r="F104" s="76" t="inlineStr">
        <is>
          <t>9 meses</t>
        </is>
      </c>
      <c r="G104" s="76" t="inlineStr">
        <is>
          <t>~£35,000 (confirmar)</t>
        </is>
      </c>
      <c r="H104" s="76" t="inlineStr">
        <is>
          <t>£17,000</t>
        </is>
      </c>
      <c r="I104" s="76" t="inlineStr">
        <is>
          <t>~£52,000</t>
        </is>
      </c>
      <c r="J104" s="77" t="inlineStr">
        <is>
          <t>GRE REQUERIDO (título no-UK/IRL, &lt;5 años) — sin mínimo publicado; ref. MPhil: Q164/V160/AWA4.5</t>
        </is>
      </c>
      <c r="K104" s="78" t="inlineStr">
        <is>
          <t>Q ~164 (ref.)</t>
        </is>
      </c>
      <c r="L104" s="76" t="inlineStr">
        <is>
          <t>7.5</t>
        </is>
      </c>
      <c r="M104" s="76" t="inlineStr">
        <is>
          <t>~ene 2027</t>
        </is>
      </c>
      <c r="N104" s="76" t="inlineStr">
        <is>
          <t>Louis Dreyfus-Weidenfeld (fully funded, Sudamérica); Chevening</t>
        </is>
      </c>
      <c r="O104" s="76" t="inlineStr">
        <is>
          <t>★★</t>
        </is>
      </c>
      <c r="P104" s="76" t="inlineStr">
        <is>
          <t>★★★★★</t>
        </is>
      </c>
      <c r="Q104" s="76" t="inlineStr">
        <is>
          <t>https://www.ox.ac.uk/admissions/graduate/courses/msc-economics-development</t>
        </is>
      </c>
    </row>
    <row r="105" ht="34.5" customHeight="1" s="47">
      <c r="A105" s="76" t="inlineStr">
        <is>
          <t>España</t>
        </is>
      </c>
      <c r="B105" s="76" t="inlineStr">
        <is>
          <t>Directa</t>
        </is>
      </c>
      <c r="C105" s="76" t="inlineStr">
        <is>
          <t>CEMFI</t>
        </is>
      </c>
      <c r="D105" s="76" t="inlineStr">
        <is>
          <t>Master in Economics and Finance</t>
        </is>
      </c>
      <c r="E105" s="76" t="inlineStr">
        <is>
          <t>Madrid</t>
        </is>
      </c>
      <c r="F105" s="76" t="inlineStr">
        <is>
          <t>2 años</t>
        </is>
      </c>
      <c r="G105" s="76" t="inlineStr">
        <is>
          <t>~€15,000 (beca cubre)</t>
        </is>
      </c>
      <c r="H105" s="76" t="inlineStr">
        <is>
          <t>€12,000</t>
        </is>
      </c>
      <c r="I105" s="76" t="inlineStr">
        <is>
          <t>~€27,000 (sin beca)</t>
        </is>
      </c>
      <c r="J105" s="77" t="inlineStr">
        <is>
          <t>GRE REQUERIDO (código 7046) — sin cutoff; académico+GRE = 50% de la evaluación; admitidos con Q muy alto</t>
        </is>
      </c>
      <c r="K105" s="78" t="inlineStr">
        <is>
          <t>Q ≥165</t>
        </is>
      </c>
      <c r="L105" s="76" t="inlineStr">
        <is>
          <t>C1/IELTS</t>
        </is>
      </c>
      <c r="M105" s="76" t="inlineStr">
        <is>
          <t>31-ene (funding)</t>
        </is>
      </c>
      <c r="N105" s="76" t="inlineStr">
        <is>
          <t>Beca Carolina/BBVA LATAM: tuition + €900/mes</t>
        </is>
      </c>
      <c r="O105" s="76" t="inlineStr">
        <is>
          <t>★★★★★</t>
        </is>
      </c>
      <c r="P105" s="76" t="inlineStr">
        <is>
          <t>★★★★★</t>
        </is>
      </c>
      <c r="Q105" s="76" t="inlineStr">
        <is>
          <t>https://www.cemfi.es/programs/master/admissions.asp</t>
        </is>
      </c>
    </row>
    <row r="106" ht="34.5" customHeight="1" s="47">
      <c r="A106" s="76" t="inlineStr">
        <is>
          <t>España</t>
        </is>
      </c>
      <c r="B106" s="76" t="inlineStr">
        <is>
          <t>Directa</t>
        </is>
      </c>
      <c r="C106" s="76" t="inlineStr">
        <is>
          <t>Barcelona School of Economics (BSE)</t>
        </is>
      </c>
      <c r="D106" s="76" t="inlineStr">
        <is>
          <t>MSc Economics Program</t>
        </is>
      </c>
      <c r="E106" s="76" t="inlineStr">
        <is>
          <t>Barcelona</t>
        </is>
      </c>
      <c r="F106" s="76" t="inlineStr">
        <is>
          <t>9 meses</t>
        </is>
      </c>
      <c r="G106" s="76" t="inlineStr">
        <is>
          <t>€15,000-20,000</t>
        </is>
      </c>
      <c r="H106" s="76" t="inlineStr">
        <is>
          <t>€12,000</t>
        </is>
      </c>
      <c r="I106" s="76" t="inlineStr">
        <is>
          <t>~€28,000-32,000</t>
        </is>
      </c>
      <c r="J106" s="77" t="inlineStr">
        <is>
          <t>Opcional MUY recomendado (clave si el grado no es de uni top); PhD-track UPF: GRE REQUERIDO</t>
        </is>
      </c>
      <c r="K106" s="78" t="inlineStr">
        <is>
          <t>Q ≥160 (rec.)</t>
        </is>
      </c>
      <c r="L106" s="76" t="inlineStr">
        <is>
          <t>C1/IELTS</t>
        </is>
      </c>
      <c r="M106" s="76" t="inlineStr">
        <is>
          <t>rondas ene-jun</t>
        </is>
      </c>
      <c r="N106" s="76" t="inlineStr">
        <is>
          <t>BSE merit (parciales a totales)</t>
        </is>
      </c>
      <c r="O106" s="76" t="inlineStr">
        <is>
          <t>★★★★</t>
        </is>
      </c>
      <c r="P106" s="76" t="inlineStr">
        <is>
          <t>★★★★</t>
        </is>
      </c>
      <c r="Q106" s="76" t="inlineStr">
        <is>
          <t>https://bse.eu/masters-degrees/admissions</t>
        </is>
      </c>
    </row>
    <row r="107" ht="23.25" customHeight="1" s="47">
      <c r="A107" s="75" t="inlineStr">
        <is>
          <t>España</t>
        </is>
      </c>
      <c r="B107" s="75" t="inlineStr">
        <is>
          <t>Directa</t>
        </is>
      </c>
      <c r="C107" s="75" t="inlineStr">
        <is>
          <t>Barcelona School of Economics (BSE)</t>
        </is>
      </c>
      <c r="D107" s="75" t="inlineStr">
        <is>
          <t>MSc Finance / Financial Economics</t>
        </is>
      </c>
      <c r="E107" s="75" t="inlineStr">
        <is>
          <t>Barcelona</t>
        </is>
      </c>
      <c r="F107" s="75" t="inlineStr">
        <is>
          <t>9 meses</t>
        </is>
      </c>
      <c r="G107" s="75" t="inlineStr">
        <is>
          <t>€15,000-20,000</t>
        </is>
      </c>
      <c r="H107" s="75" t="inlineStr">
        <is>
          <t>€12,000</t>
        </is>
      </c>
      <c r="I107" s="75" t="inlineStr">
        <is>
          <t>~€28,000-32,000</t>
        </is>
      </c>
      <c r="J107" s="75" t="inlineStr">
        <is>
          <t>Opcional MUY recomendado (ídem Economics)</t>
        </is>
      </c>
      <c r="K107" s="75" t="inlineStr">
        <is>
          <t>Q ≥160 (rec.)</t>
        </is>
      </c>
      <c r="L107" s="75" t="inlineStr">
        <is>
          <t>C1/IELTS</t>
        </is>
      </c>
      <c r="M107" s="75" t="inlineStr">
        <is>
          <t>rondas ene-jun</t>
        </is>
      </c>
      <c r="N107" s="75" t="inlineStr">
        <is>
          <t>BSE merit</t>
        </is>
      </c>
      <c r="O107" s="75" t="inlineStr">
        <is>
          <t>★★★★★</t>
        </is>
      </c>
      <c r="P107" s="75" t="inlineStr">
        <is>
          <t>★★</t>
        </is>
      </c>
      <c r="Q107" s="75" t="inlineStr">
        <is>
          <t>https://bse.eu/masters-degrees/economics-finance</t>
        </is>
      </c>
    </row>
    <row r="108" ht="23.25" customHeight="1" s="47">
      <c r="A108" s="67" t="inlineStr">
        <is>
          <t>España</t>
        </is>
      </c>
      <c r="B108" s="67" t="inlineStr">
        <is>
          <t>Directa</t>
        </is>
      </c>
      <c r="C108" s="67" t="inlineStr">
        <is>
          <t>Universidad Carlos III</t>
        </is>
      </c>
      <c r="D108" s="67" t="inlineStr">
        <is>
          <t>Master in Economic Analysis</t>
        </is>
      </c>
      <c r="E108" s="67" t="inlineStr">
        <is>
          <t>Madrid</t>
        </is>
      </c>
      <c r="F108" s="67" t="inlineStr">
        <is>
          <t>2 años</t>
        </is>
      </c>
      <c r="G108" s="67" t="inlineStr">
        <is>
          <t>~€3,000-6,000 (pública)</t>
        </is>
      </c>
      <c r="H108" s="67" t="inlineStr">
        <is>
          <t>€12,000</t>
        </is>
      </c>
      <c r="I108" s="67" t="inlineStr">
        <is>
          <t>~€15,000-18,000</t>
        </is>
      </c>
      <c r="J108" s="67" t="inlineStr">
        <is>
          <t>No exigido (confirmar en web — no verificado en esta pasada)</t>
        </is>
      </c>
      <c r="K108" s="67" t="inlineStr">
        <is>
          <t>—</t>
        </is>
      </c>
      <c r="L108" s="67" t="inlineStr">
        <is>
          <t>C1/IELTS</t>
        </is>
      </c>
      <c r="M108" s="67" t="inlineStr">
        <is>
          <t>~rondas feb-jun</t>
        </is>
      </c>
      <c r="N108" s="67" t="inlineStr">
        <is>
          <t>Becas UC3M / Carolina</t>
        </is>
      </c>
      <c r="O108" s="67" t="inlineStr">
        <is>
          <t>★★★</t>
        </is>
      </c>
      <c r="P108" s="67" t="inlineStr">
        <is>
          <t>★★★★</t>
        </is>
      </c>
      <c r="Q108" s="67" t="inlineStr">
        <is>
          <t>https://www.uc3m.es/master/economic-analysis</t>
        </is>
      </c>
    </row>
    <row r="109" ht="34.5" customHeight="1" s="47">
      <c r="A109" s="67" t="inlineStr">
        <is>
          <t>Canadá</t>
        </is>
      </c>
      <c r="B109" s="67" t="inlineStr">
        <is>
          <t>Directa</t>
        </is>
      </c>
      <c r="C109" s="67" t="inlineStr">
        <is>
          <t>McGill University</t>
        </is>
      </c>
      <c r="D109" s="67" t="inlineStr">
        <is>
          <t>MA Economics (Thesis, PhD-prep)</t>
        </is>
      </c>
      <c r="E109" s="67" t="inlineStr">
        <is>
          <t>Montreal</t>
        </is>
      </c>
      <c r="F109" s="67" t="inlineStr">
        <is>
          <t>1 año (3 terms, sep-ago)</t>
        </is>
      </c>
      <c r="G109" s="67" t="inlineStr">
        <is>
          <t>CAD 25.725 (~€17k)</t>
        </is>
      </c>
      <c r="H109" s="67" t="inlineStr">
        <is>
          <t>CAD 18.000</t>
        </is>
      </c>
      <c r="I109" s="67" t="inlineStr">
        <is>
          <t>~CAD 44.000 (~€29k)</t>
        </is>
      </c>
      <c r="J109" s="67" t="inlineStr">
        <is>
          <t>REQUERIDO (grado no canadiense; GMAT NO sustituye; códigos 0935/1801) — verificado en dept. how-to-apply</t>
        </is>
      </c>
      <c r="K109" s="67" t="inlineStr">
        <is>
          <t>Q ≥165 (objetivo cubre)</t>
        </is>
      </c>
      <c r="L109" s="67" t="inlineStr">
        <is>
          <t>IELTS Academic ≥6.5 (presencial, envío electrónico) o TOEFL iBT ≥86/20xsección. NO aceptan Cambridge C1, Duolingo ni PTE → rendir IELTS ANTES de dic-2026 (demoras reportadas)</t>
        </is>
      </c>
      <c r="M109" s="67" t="inlineStr">
        <is>
          <t>15-ene-2027 (intl) · ⚠️ thesis MA exige SUPERVISOR confirmado al momento de aplicar</t>
        </is>
      </c>
      <c r="N109" s="67" t="inlineStr">
        <is>
          <t>McCall MacBain (FULL, deadline 19-ago-2026) · entrance awards CAD 5-20k finalistas</t>
        </is>
      </c>
      <c r="O109" s="67" t="inlineStr">
        <is>
          <t>★★★★</t>
        </is>
      </c>
      <c r="P109" s="67" t="inlineStr">
        <is>
          <t>★★★★</t>
        </is>
      </c>
      <c r="Q109" s="67" t="inlineStr">
        <is>
          <t>https://www.mcgill.ca/economics/graduates/programs</t>
        </is>
      </c>
    </row>
  </sheetData>
  <autoFilter ref="A1:Q10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46" min="1" max="1"/>
    <col width="68" customWidth="1" style="46" min="2" max="2"/>
    <col width="20" customWidth="1" style="46" min="3" max="4"/>
    <col width="55" customWidth="1" style="46" min="5" max="5"/>
  </cols>
  <sheetData>
    <row r="1" ht="15" customHeight="1" s="47">
      <c r="A1" s="51" t="inlineStr">
        <is>
          <t>PROGRAMAS CON FILTRO GRE/GMAT — verificado en webs oficiales, julio 2026 (ciclo 2027-28: reconfirmar al aplicar)</t>
        </is>
      </c>
    </row>
    <row r="2" ht="45" customHeight="1" s="47">
      <c r="A2" s="79" t="inlineStr">
        <is>
          <t>RESPUESTA CORTA: con GRE Quant ≥165 (percentil ~85), Verbal ≥158 y AWA ≥4.0 pasás TODOS los filtros duros y recomendaciones de la lista. Pisos duros individuales: Q160 (Tinbergen), Q~164 (LSE), Q155 (SSE). Ningún programa exige GMAT en exclusiva: el GRE alcanza para todo.</t>
        </is>
      </c>
    </row>
    <row r="4" ht="15" customHeight="1" s="47">
      <c r="A4" s="80" t="inlineStr">
        <is>
          <t>Programa</t>
        </is>
      </c>
      <c r="B4" s="80" t="inlineStr">
        <is>
          <t>Requisito (verificado jul-2026)</t>
        </is>
      </c>
      <c r="C4" s="80" t="inlineStr">
        <is>
          <t>Nota objetivo</t>
        </is>
      </c>
      <c r="D4" s="80" t="inlineStr">
        <is>
          <t>Tipo</t>
        </is>
      </c>
      <c r="E4" s="80" t="inlineStr">
        <is>
          <t>Fuente</t>
        </is>
      </c>
    </row>
    <row r="5" ht="23.25" customHeight="1" s="47">
      <c r="A5" s="76" t="inlineStr">
        <is>
          <t>LSE — MSc Economics</t>
        </is>
      </c>
      <c r="B5" s="76" t="inlineStr">
        <is>
          <t>GRE requerido para todo título no-UK (las 3 secciones, &lt;5 años al 1-oct). Esperan Q ≥164.</t>
        </is>
      </c>
      <c r="C5" s="76" t="inlineStr">
        <is>
          <t>Q ≥164</t>
        </is>
      </c>
      <c r="D5" s="77" t="inlineStr">
        <is>
          <t>REQUERIDO</t>
        </is>
      </c>
      <c r="E5" s="76" t="inlineStr">
        <is>
          <t>https://www.lse.ac.uk/study-at-lse/Graduate/Prospective-students/Entry-requirements/GRE-and-GMAT</t>
        </is>
      </c>
    </row>
    <row r="6" ht="23.25" customHeight="1" s="47">
      <c r="A6" s="76" t="inlineStr">
        <is>
          <t>LSE — MSc Finance &amp; Economics</t>
        </is>
      </c>
      <c r="B6" s="76" t="inlineStr">
        <is>
          <t>GRE/GMAT requerido (título no-UK); quant fuerte. Competitivo: Q165+/GMAT 700+.</t>
        </is>
      </c>
      <c r="C6" s="76" t="inlineStr">
        <is>
          <t>Q ≥160 (ideal 165)</t>
        </is>
      </c>
      <c r="D6" s="77" t="inlineStr">
        <is>
          <t>REQUERIDO</t>
        </is>
      </c>
      <c r="E6" s="76" t="inlineStr">
        <is>
          <t>https://www.lse.ac.uk/study-at-lse/graduate/msc-finance-and-economics</t>
        </is>
      </c>
    </row>
    <row r="7" ht="23.25" customHeight="1" s="47">
      <c r="A7" s="76" t="inlineStr">
        <is>
          <t>Oxford — MSc Economics for Development</t>
        </is>
      </c>
      <c r="B7" s="76" t="inlineStr">
        <is>
          <t>GRE obligatorio si el título no es UK/IRL. Sin mínimo publicado; referencia MPhil Econ: Q164/V160/AWA4.5.</t>
        </is>
      </c>
      <c r="C7" s="76" t="inlineStr">
        <is>
          <t>Q ~164</t>
        </is>
      </c>
      <c r="D7" s="77" t="inlineStr">
        <is>
          <t>REQUERIDO</t>
        </is>
      </c>
      <c r="E7" s="76" t="inlineStr">
        <is>
          <t>https://www.ox.ac.uk/admissions/graduate/courses/msc-economics-development</t>
        </is>
      </c>
    </row>
    <row r="8" ht="23.25" customHeight="1" s="47">
      <c r="A8" s="76" t="inlineStr">
        <is>
          <t>CEMFI — Master in Economics and Finance</t>
        </is>
      </c>
      <c r="B8" s="76" t="inlineStr">
        <is>
          <t>GRE requerido (código 7046). Sin cutoff, pero académico+GRE = 50% de la evaluación; admitidos con quant muy alto.</t>
        </is>
      </c>
      <c r="C8" s="76" t="inlineStr">
        <is>
          <t>Q ≥165</t>
        </is>
      </c>
      <c r="D8" s="77" t="inlineStr">
        <is>
          <t>REQUERIDO</t>
        </is>
      </c>
      <c r="E8" s="76" t="inlineStr">
        <is>
          <t>https://www.cemfi.es/programs/master/faqs.asp</t>
        </is>
      </c>
    </row>
    <row r="9" ht="23.25" customHeight="1" s="47">
      <c r="A9" s="76" t="inlineStr">
        <is>
          <t>Tinbergen Institute — Research Master</t>
        </is>
      </c>
      <c r="B9" s="76" t="inlineStr">
        <is>
          <t>GRE requerido (título no-NL). Q&lt;160 no se considera; admitidos típicos en top-10% (~Q166).</t>
        </is>
      </c>
      <c r="C9" s="76" t="inlineStr">
        <is>
          <t>Q ≥165 (piso Q160)</t>
        </is>
      </c>
      <c r="D9" s="77" t="inlineStr">
        <is>
          <t>REQUERIDO</t>
        </is>
      </c>
      <c r="E9" s="76" t="inlineStr">
        <is>
          <t>https://tinbergen.nl/admission-requirements</t>
        </is>
      </c>
    </row>
    <row r="10" ht="23.25" customHeight="1" s="47">
      <c r="A10" s="76" t="inlineStr">
        <is>
          <t>Stockholm School of Economics — MSc Economics</t>
        </is>
      </c>
      <c r="B10" s="76" t="inlineStr">
        <is>
          <t>GRE Q ≥155 o GMAT Focus ≥555 para que la aplicación sea considerada. ⚠ Corrección: el Excel anterior decía 'No'.</t>
        </is>
      </c>
      <c r="C10" s="76" t="inlineStr">
        <is>
          <t>Q ≥155 (piso)</t>
        </is>
      </c>
      <c r="D10" s="77" t="inlineStr">
        <is>
          <t>REQUERIDO</t>
        </is>
      </c>
      <c r="E10" s="76" t="inlineStr">
        <is>
          <t>https://www.hhs.se/en/education/msc/</t>
        </is>
      </c>
    </row>
    <row r="11" ht="23.25" customHeight="1" s="47">
      <c r="A11" s="76" t="inlineStr">
        <is>
          <t>Bocconi — MSc ESS</t>
        </is>
      </c>
      <c r="B11" s="76" t="inlineStr">
        <is>
          <t>GMAT/GRE/test Bocconi obligatorio para internacionales; equivalente a GMAT 600.</t>
        </is>
      </c>
      <c r="C11" s="76" t="inlineStr">
        <is>
          <t>~Q158-160</t>
        </is>
      </c>
      <c r="D11" s="77" t="inlineStr">
        <is>
          <t>REQUERIDO</t>
        </is>
      </c>
      <c r="E11" s="76" t="inlineStr">
        <is>
          <t>https://www.unibocconi.it/en/applying-bocconi/master-science-and-ma-programs/application-and-admissions/gmat-and-gre-test</t>
        </is>
      </c>
    </row>
    <row r="12" ht="23.25" customHeight="1" s="47">
      <c r="A12" s="76" t="inlineStr">
        <is>
          <t>Maastricht — MSc Economics / Financial Econ / EOR / RM EFR</t>
        </is>
      </c>
      <c r="B12" s="76" t="inlineStr">
        <is>
          <t>GMAT ≥515 (Focus) o GRE según tabla de equivalencia + AWA ≥3.5. Score report oficial directo desde el test center.</t>
        </is>
      </c>
      <c r="C12" s="76" t="inlineStr">
        <is>
          <t>GMAT ≥515 / GRE equiv.</t>
        </is>
      </c>
      <c r="D12" s="77" t="inlineStr">
        <is>
          <t>REQUERIDO</t>
        </is>
      </c>
      <c r="E12" s="76" t="inlineStr">
        <is>
          <t>https://www.maastrichtuniversity.nl/gmat-gre-requirement-sbe</t>
        </is>
      </c>
    </row>
    <row r="13" ht="34.5" customHeight="1" s="47">
      <c r="A13" s="76" t="inlineStr">
        <is>
          <t>Groningen — Research Master Econ &amp; Business</t>
        </is>
      </c>
      <c r="B13" s="76" t="inlineStr">
        <is>
          <t>GMAT/GRE requerido (título no-NL): GMAT ≥600 admisión directa; 500-599 decide comité. Los MSc regulares de Groningen YA NO piden GMAT/GRE (desde intake 2025).</t>
        </is>
      </c>
      <c r="C13" s="76" t="inlineStr">
        <is>
          <t>GMAT ≥600 / GRE equiv.</t>
        </is>
      </c>
      <c r="D13" s="77" t="inlineStr">
        <is>
          <t>REQUERIDO</t>
        </is>
      </c>
      <c r="E13" s="76" t="inlineStr">
        <is>
          <t>https://www.rug.nl/research/gradschool-economics-and-business/master-programme/admissions</t>
        </is>
      </c>
    </row>
    <row r="14" ht="23.25" customHeight="1" s="47">
      <c r="A14" s="76" t="inlineStr">
        <is>
          <t>BSE — PhD-track UPF</t>
        </is>
      </c>
      <c r="B14" s="76" t="inlineStr">
        <is>
          <t>GRE requerido solo para el PhD Track; resto de masters BSE: opcional muy recomendado.</t>
        </is>
      </c>
      <c r="C14" s="76" t="inlineStr">
        <is>
          <t>Q ≥160</t>
        </is>
      </c>
      <c r="D14" s="77" t="inlineStr">
        <is>
          <t>REQUERIDO (PhD-track)</t>
        </is>
      </c>
      <c r="E14" s="76" t="inlineStr">
        <is>
          <t>https://bse.eu/masters-degrees/admissions</t>
        </is>
      </c>
    </row>
    <row r="15" ht="34.5" customHeight="1" s="47">
      <c r="A15" s="75" t="inlineStr">
        <is>
          <t>Edinburgh SGPE — MSc Economics/Econometrics</t>
        </is>
      </c>
      <c r="B15" s="75" t="inlineStr">
        <is>
          <t>No requerido; recomendación fuerte: GRE Q percentil ≥85. Solo miran la sección quant.</t>
        </is>
      </c>
      <c r="C15" s="75" t="inlineStr">
        <is>
          <t>Q ≥165 (rec.)</t>
        </is>
      </c>
      <c r="D15" s="81" t="inlineStr">
        <is>
          <t>RECOMENDADO</t>
        </is>
      </c>
      <c r="E15" s="75" t="inlineStr">
        <is>
          <t>https://economics.ed.ac.uk/study-with-us/postgraduate/scottish-graduate-programme-economics/prospective-students/eligibility-application/eligibility</t>
        </is>
      </c>
    </row>
    <row r="16" ht="23.25" customHeight="1" s="47">
      <c r="A16" s="75" t="inlineStr">
        <is>
          <t>Warwick WBS — MSc Finance &amp; Economics</t>
        </is>
      </c>
      <c r="B16" s="75" t="inlineStr">
        <is>
          <t>No requerido; rec. para reforzar perfil quant. Competitivo: GRE 320+ (Q160+) o GMAT 650+.</t>
        </is>
      </c>
      <c r="C16" s="75" t="inlineStr">
        <is>
          <t>Q ≥160 (rec.)</t>
        </is>
      </c>
      <c r="D16" s="81" t="inlineStr">
        <is>
          <t>RECOMENDADO</t>
        </is>
      </c>
      <c r="E16" s="75" t="inlineStr">
        <is>
          <t>https://www.wbs.ac.uk/courses/masters/finance-and-economics/requirements/</t>
        </is>
      </c>
    </row>
    <row r="17" ht="23.25" customHeight="1" s="47">
      <c r="A17" s="75" t="inlineStr">
        <is>
          <t>St. Gallen — MEcon</t>
        </is>
      </c>
      <c r="B17" s="75" t="inlineStr">
        <is>
          <t>Opcional pero pesa 25% de la admisión; sin test, el GPA cuenta doble (riesgoso con 7.82/10 UBA). GRE: cuenta solo quant.</t>
        </is>
      </c>
      <c r="C17" s="75" t="inlineStr">
        <is>
          <t>Q ≥160 (rec. fuerte)</t>
        </is>
      </c>
      <c r="D17" s="81" t="inlineStr">
        <is>
          <t>RECOMENDADO</t>
        </is>
      </c>
      <c r="E17" s="75" t="inlineStr">
        <is>
          <t>https://www.unisg.ch/en/studying/admission/admission-master/economics/</t>
        </is>
      </c>
    </row>
    <row r="18" ht="23.25" customHeight="1" s="47">
      <c r="A18" s="75" t="inlineStr">
        <is>
          <t>BSE — Economics / Finance</t>
        </is>
      </c>
      <c r="B18" s="75" t="inlineStr">
        <is>
          <t>Opcional muy recomendado; ayuda especialmente si el grado no es de uni 'top' reconocida.</t>
        </is>
      </c>
      <c r="C18" s="75" t="inlineStr">
        <is>
          <t>Q ≥160 (rec.)</t>
        </is>
      </c>
      <c r="D18" s="81" t="inlineStr">
        <is>
          <t>RECOMENDADO</t>
        </is>
      </c>
      <c r="E18" s="75" t="inlineStr">
        <is>
          <t>https://bse.eu/masters-degrees/admissions</t>
        </is>
      </c>
    </row>
    <row r="19" ht="15" customHeight="1" s="47">
      <c r="A19" s="75" t="inlineStr">
        <is>
          <t>Nova SBE — Masters</t>
        </is>
      </c>
      <c r="B19" s="75" t="inlineStr">
        <is>
          <t>Opcional; admitidos que lo envían: GMAT ~620-710 (media 650).</t>
        </is>
      </c>
      <c r="C19" s="75" t="inlineStr">
        <is>
          <t>opcional</t>
        </is>
      </c>
      <c r="D19" s="81" t="inlineStr">
        <is>
          <t>RECOMENDADO</t>
        </is>
      </c>
      <c r="E19" s="75" t="inlineStr">
        <is>
          <t>https://www.novasbe.unl.pt/en/programs/apply/masters/eligibility</t>
        </is>
      </c>
    </row>
    <row r="20" ht="15" customHeight="1" s="47">
      <c r="A20" s="82" t="inlineStr">
        <is>
          <t>QEM Erasmus Mundus</t>
        </is>
      </c>
      <c r="B20" s="82" t="inlineStr">
        <is>
          <t>No requerido ni recomendado (selección por expediente cuantitativo).</t>
        </is>
      </c>
      <c r="C20" s="82" t="inlineStr">
        <is>
          <t>—</t>
        </is>
      </c>
      <c r="D20" s="83" t="inlineStr">
        <is>
          <t>NO REQUERIDO</t>
        </is>
      </c>
      <c r="E20" s="82" t="inlineStr">
        <is>
          <t>https://master-economics-qem.eu/</t>
        </is>
      </c>
    </row>
    <row r="21" ht="23.25" customHeight="1" s="47">
      <c r="A21" s="82" t="inlineStr">
        <is>
          <t>McGill — MA Economics</t>
        </is>
      </c>
      <c r="B21" s="82" t="inlineStr">
        <is>
          <t>REQUERIDO para grados no canadienses (UBA incluido). GMAT no sustituye. Sin piso publicado.</t>
        </is>
      </c>
      <c r="C21" s="82" t="inlineStr">
        <is>
          <t>Q ≥165 sobra</t>
        </is>
      </c>
      <c r="D21" s="83" t="inlineStr">
        <is>
          <t>REQUERIDO</t>
        </is>
      </c>
      <c r="E21" s="82" t="inlineStr">
        <is>
          <t>https://www.mcgill.ca/economics/graduates/admissions/how-apply</t>
        </is>
      </c>
    </row>
  </sheetData>
  <mergeCells count="1">
    <mergeCell ref="A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46" min="1" max="1"/>
    <col width="20" customWidth="1" style="46" min="2" max="2"/>
    <col width="34" customWidth="1" style="46" min="3" max="3"/>
    <col width="15" customWidth="1" style="46" min="4" max="4"/>
    <col width="8" customWidth="1" style="46" min="5" max="5"/>
    <col width="22" customWidth="1" style="46" min="6" max="6"/>
    <col width="55" customWidth="1" style="46" min="7" max="7"/>
    <col width="40" customWidth="1" style="46" min="8" max="8"/>
  </cols>
  <sheetData>
    <row r="1" ht="15" customHeight="1" s="47">
      <c r="A1" s="51" t="inlineStr">
        <is>
          <t>BECAS — MASTER SOURCE (consolidado jun-2026 + deep-dive fully funded). Estados: ✅ aplica · ⚠️ verificar · ❌ no aplica · 🔍 por investigar</t>
        </is>
      </c>
    </row>
    <row r="2" ht="23.25" customHeight="1" s="47">
      <c r="A2" s="57" t="inlineStr">
        <is>
          <t>Beca</t>
        </is>
      </c>
      <c r="B2" s="57" t="inlineStr">
        <is>
          <t>Destino</t>
        </is>
      </c>
      <c r="C2" s="57" t="inlineStr">
        <is>
          <t>Cobertura</t>
        </is>
      </c>
      <c r="D2" s="57" t="inlineStr">
        <is>
          <t>Vía elegibilidad</t>
        </is>
      </c>
      <c r="E2" s="57" t="inlineStr">
        <is>
          <t>Estado</t>
        </is>
      </c>
      <c r="F2" s="57" t="inlineStr">
        <is>
          <t>Deadline (ciclo 2027-28, confirmar)</t>
        </is>
      </c>
      <c r="G2" s="57" t="inlineStr">
        <is>
          <t>Notas críticas</t>
        </is>
      </c>
      <c r="H2" s="57" t="inlineStr">
        <is>
          <t>URL</t>
        </is>
      </c>
    </row>
    <row r="3" ht="15" customHeight="1" s="47">
      <c r="A3" s="84" t="inlineStr">
        <is>
          <t>— CATEGORÍA A: BECAS DE UNIVERSIDAD —</t>
        </is>
      </c>
      <c r="B3" s="85" t="n"/>
      <c r="C3" s="85" t="n"/>
      <c r="D3" s="85" t="n"/>
      <c r="E3" s="85" t="n"/>
      <c r="F3" s="85" t="n"/>
      <c r="G3" s="85" t="n"/>
      <c r="H3" s="85" t="n"/>
    </row>
    <row r="4" ht="23.25" customHeight="1" s="47">
      <c r="A4" s="83" t="inlineStr">
        <is>
          <t>CEU Viena — full waiver + estipendio</t>
        </is>
      </c>
      <c r="B4" s="82" t="inlineStr">
        <is>
          <t>Austria (CEU)</t>
        </is>
      </c>
      <c r="C4" s="82" t="inlineStr">
        <is>
          <t>Matrícula 100% + €10.000/año</t>
        </is>
      </c>
      <c r="D4" s="82" t="inlineStr">
        <is>
          <t>ARG/TODOS</t>
        </is>
      </c>
      <c r="E4" s="86" t="inlineStr">
        <is>
          <t>✅</t>
        </is>
      </c>
      <c r="F4" s="82" t="inlineStr">
        <is>
          <t>~4 feb</t>
        </is>
      </c>
      <c r="G4" s="82" t="inlineStr">
        <is>
          <t>Top candidates. + Beca Hantos específica LATAM/argentinos — mencionar nacionalidad ARG. Muy fuerte para su perfil.</t>
        </is>
      </c>
      <c r="H4" s="82" t="inlineStr">
        <is>
          <t>https://economics.ceu.edu/</t>
        </is>
      </c>
    </row>
    <row r="5" ht="23.25" customHeight="1" s="47">
      <c r="A5" s="83" t="inlineStr">
        <is>
          <t>Warwick Economics Regional (Sudamérica)</t>
        </is>
      </c>
      <c r="B5" s="82" t="inlineStr">
        <is>
          <t>UK (Warwick)</t>
        </is>
      </c>
      <c r="C5" s="82" t="inlineStr">
        <is>
          <t>100% tuition (2 becas)</t>
        </is>
      </c>
      <c r="D5" s="82" t="inlineStr">
        <is>
          <t>ARG</t>
        </is>
      </c>
      <c r="E5" s="86" t="inlineStr">
        <is>
          <t>✅</t>
        </is>
      </c>
      <c r="F5" s="82" t="inlineStr">
        <is>
          <t>Aceptar oferta antes ~18 may</t>
        </is>
      </c>
      <c r="G5" s="82" t="inlineStr">
        <is>
          <t>Dept. Economics #1 GUG. Solo tuition, sin estipendio.</t>
        </is>
      </c>
      <c r="H5" s="82" t="inlineStr">
        <is>
          <t>https://warwick.ac.uk/study/postgraduate/funding/</t>
        </is>
      </c>
    </row>
    <row r="6" ht="23.25" customHeight="1" s="47">
      <c r="A6" s="83" t="inlineStr">
        <is>
          <t>Southampton Presidential Int'l</t>
        </is>
      </c>
      <c r="B6" s="82" t="inlineStr">
        <is>
          <t>UK (Southampton)</t>
        </is>
      </c>
      <c r="C6" s="82" t="inlineStr">
        <is>
          <t>10×100% fee + 15×£10.000</t>
        </is>
      </c>
      <c r="D6" s="82" t="inlineStr">
        <is>
          <t>TODOS</t>
        </is>
      </c>
      <c r="E6" s="86" t="inlineStr">
        <is>
          <t>✅</t>
        </is>
      </c>
      <c r="F6" s="82" t="inlineStr">
        <is>
          <t>~22 abr</t>
        </is>
      </c>
      <c r="G6" s="82" t="inlineStr">
        <is>
          <t>Basada en SDGs de la ONU — perfil IIEP-CONICET muy competitivo. 25 becas (10 full + 15 ×£10k). Incompatible con beca externa que cubra fee completo. Deadline estricto 22-abr 17:00 UK.</t>
        </is>
      </c>
      <c r="H6" s="82" t="inlineStr">
        <is>
          <t>https://www.southampton.ac.uk/study/fees-funding/scholarships</t>
        </is>
      </c>
    </row>
    <row r="7" ht="23.25" customHeight="1" s="47">
      <c r="A7" s="83" t="inlineStr">
        <is>
          <t>Bristol Think Big</t>
        </is>
      </c>
      <c r="B7" s="82" t="inlineStr">
        <is>
          <t>UK (Bristol)</t>
        </is>
      </c>
      <c r="C7" s="82" t="inlineStr">
        <is>
          <t>£6.500 / £13.000 / £26.000 (esquema central, cualquier máster elegible) + becas extra School of Economics £6.5k/£13k + Career Accelerator £3.000</t>
        </is>
      </c>
      <c r="D7" s="82" t="inlineStr">
        <is>
          <t>TODOS</t>
        </is>
      </c>
      <c r="E7" s="86" t="inlineStr">
        <is>
          <t>✅</t>
        </is>
      </c>
      <c r="F7" s="82" t="inlineStr">
        <is>
          <t>~10 abr (hist.)</t>
        </is>
      </c>
      <c r="G7" s="82" t="inlineStr">
        <is>
          <t>✔ RE-VERIFICADO jul-2026 en web oficial: el £26k SÍ aplica a MSc Economics (esquema central); las 'Think Big about Economics' £6.5k/£13k son adicionales. Un formulario = consideración para todas. Deadline 10-abr 10:00 UK. GREAT Bristol 2026: solo India/México/Tailandia (sin España).</t>
        </is>
      </c>
      <c r="H7" s="82" t="inlineStr">
        <is>
          <t>https://www.bristol.ac.uk/fees-funding/postgraduate/think-big/</t>
        </is>
      </c>
    </row>
    <row r="8" ht="34.5" customHeight="1" s="47">
      <c r="A8" s="83" t="inlineStr">
        <is>
          <t>Leeds 50% Excellence</t>
        </is>
      </c>
      <c r="B8" s="82" t="inlineStr">
        <is>
          <t>UK (Leeds)</t>
        </is>
      </c>
      <c r="C8" s="82" t="inlineStr">
        <is>
          <t>50% tuition (~£15-16k)</t>
        </is>
      </c>
      <c r="D8" s="82" t="inlineStr">
        <is>
          <t>TODOS</t>
        </is>
      </c>
      <c r="E8" s="86" t="inlineStr">
        <is>
          <t>✅</t>
        </is>
      </c>
      <c r="F8" s="82" t="inlineStr">
        <is>
          <t>R1 ~27 feb</t>
        </is>
      </c>
      <c r="G8" s="82" t="inlineStr">
        <is>
          <t>Aplicar en Round 1.</t>
        </is>
      </c>
      <c r="H8" s="82" t="inlineStr">
        <is>
          <t>https://www.leeds.ac.uk/masters-scholarships-bursaries</t>
        </is>
      </c>
    </row>
    <row r="9" ht="23.25" customHeight="1" s="47">
      <c r="A9" s="83" t="inlineStr">
        <is>
          <t>Newcastle VCES + EU</t>
        </is>
      </c>
      <c r="B9" s="82" t="inlineStr">
        <is>
          <t>UK (Newcastle)</t>
        </is>
      </c>
      <c r="C9" s="82" t="inlineStr">
        <is>
          <t>Hasta 50% + 25% EU adicional</t>
        </is>
      </c>
      <c r="D9" s="82" t="inlineStr">
        <is>
          <t>TODOS + ESP</t>
        </is>
      </c>
      <c r="E9" s="86" t="inlineStr">
        <is>
          <t>✅</t>
        </is>
      </c>
      <c r="F9" s="82" t="inlineStr">
        <is>
          <t>Rolling</t>
        </is>
      </c>
      <c r="G9" s="82" t="inlineStr">
        <is>
          <t>Acumulables: hasta £21.075.</t>
        </is>
      </c>
      <c r="H9" s="82" t="inlineStr">
        <is>
          <t>https://www.ncl.ac.uk/postgraduate/funding/scholarships/</t>
        </is>
      </c>
      <c r="K9" s="46" t="n"/>
    </row>
    <row r="10" ht="23.25" customHeight="1" s="47">
      <c r="A10" s="83" t="inlineStr">
        <is>
          <t>Durham DBS Masters</t>
        </is>
      </c>
      <c r="B10" s="82" t="inlineStr">
        <is>
          <t>UK (Durham)</t>
        </is>
      </c>
      <c r="C10" s="82" t="inlineStr">
        <is>
          <t>~£10.000</t>
        </is>
      </c>
      <c r="D10" s="82" t="inlineStr">
        <is>
          <t>TODOS</t>
        </is>
      </c>
      <c r="E10" s="86" t="inlineStr">
        <is>
          <t>✅</t>
        </is>
      </c>
      <c r="F10" s="82" t="inlineStr">
        <is>
          <t>~31 jul</t>
        </is>
      </c>
      <c r="G10" s="82" t="n"/>
      <c r="H10" s="82" t="inlineStr">
        <is>
          <t>https://www.durham.ac.uk/business/</t>
        </is>
      </c>
    </row>
    <row r="11" ht="23.25" customHeight="1" s="47">
      <c r="A11" s="83" t="inlineStr">
        <is>
          <t>Sheffield Int'l PGT (automática)</t>
        </is>
      </c>
      <c r="B11" s="82" t="inlineStr">
        <is>
          <t>UK (Sheffield)</t>
        </is>
      </c>
      <c r="C11" s="82" t="inlineStr">
        <is>
          <t>£3.000</t>
        </is>
      </c>
      <c r="D11" s="82" t="inlineStr">
        <is>
          <t>TODOS</t>
        </is>
      </c>
      <c r="E11" s="86" t="inlineStr">
        <is>
          <t>✅</t>
        </is>
      </c>
      <c r="F11" s="82" t="inlineStr">
        <is>
          <t>Auto — sin aplicar</t>
        </is>
      </c>
      <c r="G11" s="82" t="inlineStr">
        <is>
          <t>Descuento automático.</t>
        </is>
      </c>
      <c r="H11" s="82" t="inlineStr">
        <is>
          <t>https://www.sheffield.ac.uk/postgraduate/funding</t>
        </is>
      </c>
    </row>
    <row r="12" ht="15" customHeight="1" s="47">
      <c r="A12" s="83" t="inlineStr">
        <is>
          <t>Bath Global Excellence</t>
        </is>
      </c>
      <c r="B12" s="82" t="inlineStr">
        <is>
          <t>UK (Bath)</t>
        </is>
      </c>
      <c r="C12" s="82" t="inlineStr">
        <is>
          <t>£10.000 (hasta 250 becas)</t>
        </is>
      </c>
      <c r="D12" s="82" t="inlineStr">
        <is>
          <t>ESP</t>
        </is>
      </c>
      <c r="E12" s="86" t="inlineStr">
        <is>
          <t>✅</t>
        </is>
      </c>
      <c r="F12" s="82" t="inlineStr">
        <is>
          <t>confirmar ciclo 2027</t>
        </is>
      </c>
      <c r="G12" s="82" t="inlineStr">
        <is>
          <t>⚠️ GREAT España ELIMINADA jul-2026: exige residencia permanente en España (no solo pasaporte). Queda Global Excellence £10k ×250 (prob. alta). NO acumulable con otras becas Bath.</t>
        </is>
      </c>
      <c r="H12" s="82" t="inlineStr">
        <is>
          <t>https://www.bath.ac.uk/campaigns/masters-scholarships/</t>
        </is>
      </c>
    </row>
    <row r="13" ht="15" customHeight="1" s="47">
      <c r="A13" s="83" t="inlineStr">
        <is>
          <t>Louis Dreyfus-Weidenfeld (Oxford)</t>
        </is>
      </c>
      <c r="B13" s="82" t="inlineStr">
        <is>
          <t>UK (Oxford)</t>
        </is>
      </c>
      <c r="C13" s="82" t="inlineStr">
        <is>
          <t>Fully funded + alojamiento</t>
        </is>
      </c>
      <c r="D13" s="82" t="inlineStr">
        <is>
          <t>ARG (Sudamérica)</t>
        </is>
      </c>
      <c r="E13" s="86" t="inlineStr">
        <is>
          <t>✅</t>
        </is>
      </c>
      <c r="F13" s="82" t="inlineStr">
        <is>
          <t>Oct-nov (junto con admisión)</t>
        </is>
      </c>
      <c r="G13" s="82" t="inlineStr">
        <is>
          <t>REFORZADA 17-jul-2026: WHT cubre explícitamente MSc Economics for Development (T2 ideal) y MSc Financial Economics. Exige nacionalidad Y residencia habitual en país en desarrollo (ARG ✓✓) + compromiso de retorno + statement con template WHT subido con la app de Oxford (deadline del curso dic-2026/ene-2027). Resultados ~may-2027. Consultar impacto de doble nacionalidad (aplicar como ARG residente).</t>
        </is>
      </c>
      <c r="H13" s="82" t="inlineStr">
        <is>
          <t>https://www.ox.ac.uk/admissions/graduate/fees-and-funding</t>
        </is>
      </c>
    </row>
    <row r="14" ht="23.25" customHeight="1" s="47">
      <c r="A14" s="83" t="inlineStr">
        <is>
          <t>LSE Graduate Support Scheme</t>
        </is>
      </c>
      <c r="B14" s="82" t="inlineStr">
        <is>
          <t>UK (LSE)</t>
        </is>
      </c>
      <c r="C14" s="82" t="inlineStr">
        <is>
          <t>Parcial según necesidad (hasta ~£15k)</t>
        </is>
      </c>
      <c r="D14" s="82" t="inlineStr">
        <is>
          <t>TODOS</t>
        </is>
      </c>
      <c r="E14" s="86" t="inlineStr">
        <is>
          <t>✅</t>
        </is>
      </c>
      <c r="F14" s="82" t="inlineStr">
        <is>
          <t>~abr (con oferta)</t>
        </is>
      </c>
      <c r="G14" s="82" t="inlineStr">
        <is>
          <t>Need-based; se solicita con la aplicación.</t>
        </is>
      </c>
      <c r="H14" s="82" t="inlineStr">
        <is>
          <t>https://www.lse.ac.uk/study-at-lse/graduate/fees-and-funding</t>
        </is>
      </c>
    </row>
    <row r="15" ht="23.25" customHeight="1" s="47">
      <c r="A15" s="83" t="inlineStr">
        <is>
          <t>CEMFI — Beca Carolina/BBVA</t>
        </is>
      </c>
      <c r="B15" s="82" t="inlineStr">
        <is>
          <t>España (CEMFI)</t>
        </is>
      </c>
      <c r="C15" s="82" t="inlineStr">
        <is>
          <t>Tuition + €900/mes × 22 meses + pasaje</t>
        </is>
      </c>
      <c r="D15" s="82" t="inlineStr">
        <is>
          <t>ARG (LATAM)</t>
        </is>
      </c>
      <c r="E15" s="86" t="inlineStr">
        <is>
          <t>✅</t>
        </is>
      </c>
      <c r="F15" s="82" t="inlineStr">
        <is>
          <t>31 ene (funding)</t>
        </is>
      </c>
      <c r="G15" s="82" t="inlineStr">
        <is>
          <t>Específica para latinoamericanos en CEMFI. Fit perfecto ambos tracks.</t>
        </is>
      </c>
      <c r="H15" s="82" t="inlineStr">
        <is>
          <t>https://www.cemfi.es/programs/master/financial.asp</t>
        </is>
      </c>
    </row>
    <row r="16" ht="23.25" customHeight="1" s="47">
      <c r="A16" s="83" t="inlineStr">
        <is>
          <t>BSE merit scholarships</t>
        </is>
      </c>
      <c r="B16" s="82" t="inlineStr">
        <is>
          <t>España (BSE)</t>
        </is>
      </c>
      <c r="C16" s="82" t="inlineStr">
        <is>
          <t>Parciales a totales</t>
        </is>
      </c>
      <c r="D16" s="82" t="inlineStr">
        <is>
          <t>TODOS</t>
        </is>
      </c>
      <c r="E16" s="86" t="inlineStr">
        <is>
          <t>✅</t>
        </is>
      </c>
      <c r="F16" s="82" t="inlineStr">
        <is>
          <t>Rondas ene-jun</t>
        </is>
      </c>
      <c r="G16" s="82" t="inlineStr">
        <is>
          <t>Aplicar en rondas tempranas maximiza chances.</t>
        </is>
      </c>
      <c r="H16" s="82" t="inlineStr">
        <is>
          <t>https://bse.eu/admissions/fees-financial-aid</t>
        </is>
      </c>
    </row>
    <row r="17" ht="23.25" customHeight="1" s="47">
      <c r="A17" s="83" t="inlineStr">
        <is>
          <t>PSE Excellence / TSE Excellence / Bocconi Merit / Carlo Alberto waivers / Nova-SSE merit</t>
        </is>
      </c>
      <c r="B17" s="82" t="inlineStr">
        <is>
          <t>Continente</t>
        </is>
      </c>
      <c r="C17" s="82" t="inlineStr">
        <is>
          <t>Parcial a total (PSE €12.000; Bocconi hasta 100%)</t>
        </is>
      </c>
      <c r="D17" s="82" t="inlineStr">
        <is>
          <t>TODOS</t>
        </is>
      </c>
      <c r="E17" s="86" t="inlineStr">
        <is>
          <t>✅</t>
        </is>
      </c>
      <c r="F17" s="82" t="inlineStr">
        <is>
          <t>Con la admisión</t>
        </is>
      </c>
      <c r="G17" s="82" t="inlineStr">
        <is>
          <t>Mérito; se solicitan junto con la aplicación al programa.</t>
        </is>
      </c>
      <c r="H17" s="82" t="inlineStr">
        <is>
          <t>—</t>
        </is>
      </c>
    </row>
    <row r="18" ht="15" customHeight="1" s="47">
      <c r="A18" s="78" t="inlineStr">
        <is>
          <t>NL: Holland/NL Scholarship · Eric Bleumink · Radboud RSP · NL-High Potential</t>
        </is>
      </c>
      <c r="B18" s="76" t="inlineStr">
        <is>
          <t>Países Bajos</t>
        </is>
      </c>
      <c r="C18" s="76" t="inlineStr">
        <is>
          <t>—</t>
        </is>
      </c>
      <c r="D18" s="76" t="inlineStr">
        <is>
          <t>solo non-EU/EEA</t>
        </is>
      </c>
      <c r="E18" s="87" t="inlineStr">
        <is>
          <t>❌</t>
        </is>
      </c>
      <c r="F18" s="76" t="inlineStr">
        <is>
          <t>—</t>
        </is>
      </c>
      <c r="G18" s="76" t="inlineStr">
        <is>
          <t>BLOQUEADAS por pasaporte español (EEA). No importa: tuition EU €2.694 ya es baja.</t>
        </is>
      </c>
      <c r="H18" s="76" t="inlineStr">
        <is>
          <t>—</t>
        </is>
      </c>
    </row>
    <row r="19" ht="34.5" customHeight="1" s="47">
      <c r="A19" s="84" t="inlineStr">
        <is>
          <t>— CATEGORÍA B: FUNDACIONES —</t>
        </is>
      </c>
      <c r="B19" s="85" t="n"/>
      <c r="C19" s="85" t="n"/>
      <c r="D19" s="85" t="n"/>
      <c r="E19" s="85" t="n"/>
      <c r="F19" s="85" t="n"/>
      <c r="G19" s="85" t="n"/>
      <c r="H19" s="85" t="n"/>
    </row>
    <row r="20" ht="34.5" customHeight="1" s="47">
      <c r="A20" s="83" t="inlineStr">
        <is>
          <t>Fundación Ramón Areces (CC. Sociales/Economía)</t>
        </is>
      </c>
      <c r="B20" s="82" t="inlineStr">
        <is>
          <t>Extranjero (cualquiera)</t>
        </is>
      </c>
      <c r="C20" s="82" t="inlineStr">
        <is>
          <t>€2.100/mes + matrícula + viaje, 1 año prorrogable</t>
        </is>
      </c>
      <c r="D20" s="82" t="inlineStr">
        <is>
          <t>ESP</t>
        </is>
      </c>
      <c r="E20" s="86" t="inlineStr">
        <is>
          <t>✅</t>
        </is>
      </c>
      <c r="F20" s="82" t="inlineStr">
        <is>
          <t>~feb</t>
        </is>
      </c>
      <c r="G20" s="82" t="inlineStr">
        <is>
          <t>🥇 FIT PERFECTO: convocatoria específica de economía para posgrado en el extranjero. Prioridad alta.</t>
        </is>
      </c>
      <c r="H20" s="82" t="inlineStr">
        <is>
          <t>https://www.fundacionareces.es/fundacionareces/en/social-sciences/calls-for-scholarships-and-grants/</t>
        </is>
      </c>
    </row>
    <row r="21" ht="15" customHeight="1" s="47">
      <c r="A21" s="83" t="inlineStr">
        <is>
          <t>Fundación Rafael del Pino (Excelencia)</t>
        </is>
      </c>
      <c r="B21" s="82" t="inlineStr">
        <is>
          <t>Unis top mundiales</t>
        </is>
      </c>
      <c r="C21" s="82" t="inlineStr">
        <is>
          <t>Matrícula + manutención (montos altos)</t>
        </is>
      </c>
      <c r="D21" s="82" t="inlineStr">
        <is>
          <t>ESP</t>
        </is>
      </c>
      <c r="E21" s="86" t="inlineStr">
        <is>
          <t>✅</t>
        </is>
      </c>
      <c r="F21" s="82" t="inlineStr">
        <is>
          <t>~23 feb</t>
        </is>
      </c>
      <c r="G21" s="82" t="inlineStr">
        <is>
          <t>Acepta título de grado extranjero (UBA sirve). Requiere C1/IELTS.</t>
        </is>
      </c>
      <c r="H21" s="82" t="inlineStr">
        <is>
          <t>https://frdelpino.es/en_gb/scholarships/excellence-scholarships/</t>
        </is>
      </c>
    </row>
    <row r="22" ht="34.5" customHeight="1" s="47">
      <c r="A22" s="81" t="inlineStr">
        <is>
          <t>Fundación 'la Caixa' — posgrado extranjero</t>
        </is>
      </c>
      <c r="B22" s="75" t="inlineStr">
        <is>
          <t>Europa/NA/Asia-Pac</t>
        </is>
      </c>
      <c r="C22" s="75" t="inlineStr">
        <is>
          <t>Fully funded 24 meses (100 becas)</t>
        </is>
      </c>
      <c r="D22" s="75" t="inlineStr">
        <is>
          <t>ESP</t>
        </is>
      </c>
      <c r="E22" s="88" t="inlineStr">
        <is>
          <t>❌</t>
        </is>
      </c>
      <c r="F22" s="75" t="inlineStr">
        <is>
          <t>~19 ene</t>
        </is>
      </c>
      <c r="G22" s="75" t="inlineStr">
        <is>
          <t>RESUELTO 17-jul-2026 (bases oficiales conv. 2026): exige título de grado de universidad ESPAÑOLA; "los candidatos que hayan completado estudios de grado en el extranjero no son elegibles". Nacionalidad ESP no alcanza con título UBA → DESCARTADA.</t>
        </is>
      </c>
      <c r="H22" s="75" t="inlineStr">
        <is>
          <t>https://fundacionlacaixa.org/es/becas-posgrado-extranjero-convocatoria</t>
        </is>
      </c>
    </row>
    <row r="23" ht="23.25" customHeight="1" s="47">
      <c r="A23" s="81" t="inlineStr">
        <is>
          <t>Fundación Carolina</t>
        </is>
      </c>
      <c r="B23" s="75" t="inlineStr">
        <is>
          <t>España (CEMFI/BSE)</t>
        </is>
      </c>
      <c r="C23" s="75" t="inlineStr">
        <is>
          <t>Matrícula + alojamiento/estipendio</t>
        </is>
      </c>
      <c r="D23" s="75" t="inlineStr">
        <is>
          <t>ARG</t>
        </is>
      </c>
      <c r="E23" s="88" t="inlineStr">
        <is>
          <t>✅</t>
        </is>
      </c>
      <c r="F23" s="75" t="inlineStr">
        <is>
          <t>ene-mar</t>
        </is>
      </c>
      <c r="G23" s="75" t="inlineStr">
        <is>
          <t>RESUELTO 17-jul-2026 (FAQ oficial): con doble nacionalidad se puede postular BAJO LA NACIONALIDAD ARGENTINA (la ESP no excluye). Requisito: no residir en España (cumple). Título UBA OK. Clave para CEMFI/BSE. Solo destino España.</t>
        </is>
      </c>
      <c r="H23" s="75" t="inlineStr">
        <is>
          <t>https://www.fundacioncarolina.es/</t>
        </is>
      </c>
    </row>
    <row r="24" ht="23.25" customHeight="1" s="47">
      <c r="A24" s="78" t="inlineStr">
        <is>
          <t>Fundación Mutua Madrileña</t>
        </is>
      </c>
      <c r="B24" s="76" t="inlineStr">
        <is>
          <t>—</t>
        </is>
      </c>
      <c r="C24" s="76" t="inlineStr">
        <is>
          <t>€12.000/año</t>
        </is>
      </c>
      <c r="D24" s="76" t="inlineStr">
        <is>
          <t>—</t>
        </is>
      </c>
      <c r="E24" s="87" t="inlineStr">
        <is>
          <t>❌</t>
        </is>
      </c>
      <c r="F24" s="76" t="inlineStr">
        <is>
          <t>—</t>
        </is>
      </c>
      <c r="G24" s="76" t="inlineStr">
        <is>
          <t>Solo hijos de mutualistas (≥20 años) + grado español.</t>
        </is>
      </c>
      <c r="H24" s="76" t="inlineStr">
        <is>
          <t>—</t>
        </is>
      </c>
    </row>
    <row r="25" ht="23.25" customHeight="1" s="47">
      <c r="A25" s="78" t="inlineStr">
        <is>
          <t>Fundación Amancio Ortega</t>
        </is>
      </c>
      <c r="B25" s="76" t="inlineStr">
        <is>
          <t>—</t>
        </is>
      </c>
      <c r="C25" s="76" t="inlineStr">
        <is>
          <t>—</t>
        </is>
      </c>
      <c r="D25" s="76" t="inlineStr">
        <is>
          <t>—</t>
        </is>
      </c>
      <c r="E25" s="87" t="inlineStr">
        <is>
          <t>❌</t>
        </is>
      </c>
      <c r="F25" s="76" t="inlineStr">
        <is>
          <t>—</t>
        </is>
      </c>
      <c r="G25" s="76" t="inlineStr">
        <is>
          <t>Solo 1º de Bachillerato (secundaria).</t>
        </is>
      </c>
      <c r="H25" s="76" t="inlineStr">
        <is>
          <t>—</t>
        </is>
      </c>
    </row>
    <row r="26" ht="15" customHeight="1" s="47">
      <c r="A26" s="83" t="inlineStr">
        <is>
          <t>McCall MacBain Scholarship (McGill)</t>
        </is>
      </c>
      <c r="B26" s="82" t="inlineStr">
        <is>
          <t>Canadá (McGill)</t>
        </is>
      </c>
      <c r="C26" s="82" t="inlineStr">
        <is>
          <t>FULL: tuition+fees todo el programa + CAD 2.300/mes + relocation + funding de verano</t>
        </is>
      </c>
      <c r="D26" s="82" t="inlineStr">
        <is>
          <t>TODOS (sin restricción de nacionalidad; grado &lt;5 años o ≤30 años en 2026)</t>
        </is>
      </c>
      <c r="E26" s="86" t="inlineStr">
        <is>
          <t>✅</t>
        </is>
      </c>
      <c r="F26" s="82" t="inlineStr">
        <is>
          <t>19-ago-2026 (intl) — entrevistas nov-2026 y mar-2027</t>
        </is>
      </c>
      <c r="G26" s="82" t="inlineStr">
        <is>
          <t>Verificado jul-2026: full funding para cualquier master en McGill (incl. MA Economics). Selección tipo Rhodes: liderazgo/servicio + académico. Requiere aplicar TAMBIÉN al programa McGill (deadline 15-ene-2027). Finalistas no ganadores: entrance awards CAD 5-20k. ~30 becas internacionales/año. | ⚠️ NUEVO 17-jul-2026: UBA NO es universidad participante (LatAm: USP, UFMG, UNAM, Tec, Los Andes, Nal. Colombia, PUCP, U. Lima, UWI) → REQUIERE ENDORSEMENT de la UBA sin importar año de graduación. Iniciar trámite YA. 2 referencias (1 académica + 1 comunitaria) deben completar form online antes del 19-ago. Checklist completo: MCCALL_MCGILL_plan_ataque.md</t>
        </is>
      </c>
      <c r="H26" s="82" t="inlineStr">
        <is>
          <t>https://mccallmacbainscholars.org/</t>
        </is>
      </c>
    </row>
    <row r="27" ht="15" customHeight="1" s="47">
      <c r="A27" s="84" t="inlineStr">
        <is>
          <t>— CATEGORÍA C: GOBIERNOS / ORGANISMOS —</t>
        </is>
      </c>
      <c r="B27" s="85" t="n"/>
      <c r="C27" s="85" t="n"/>
      <c r="D27" s="85" t="n"/>
      <c r="E27" s="85" t="n"/>
      <c r="F27" s="85" t="n"/>
      <c r="G27" s="85" t="n"/>
      <c r="H27" s="85" t="n"/>
    </row>
    <row r="28" ht="15" customHeight="1" s="47">
      <c r="A28" s="83" t="inlineStr">
        <is>
          <t>Chevening</t>
        </is>
      </c>
      <c r="B28" s="82" t="inlineStr">
        <is>
          <t>UK</t>
        </is>
      </c>
      <c r="C28" s="82" t="inlineStr">
        <is>
          <t>Fully funded: tuition + £1.378/mes + vuelos</t>
        </is>
      </c>
      <c r="D28" s="82" t="inlineStr">
        <is>
          <t>ARG</t>
        </is>
      </c>
      <c r="E28" s="86" t="inlineStr">
        <is>
          <t>✅</t>
        </is>
      </c>
      <c r="F28" s="82" t="inlineStr">
        <is>
          <t>ABRE ~07/10/2026</t>
        </is>
      </c>
      <c r="G28" s="82" t="inlineStr">
        <is>
          <t>LA MÁS RELEVANTE p/ UK. Requiere ~2.800h experiencia (las tiene). Aplicar a 3 cursos. Referente ex-Chevening LSE disponible.</t>
        </is>
      </c>
      <c r="H28" s="82" t="inlineStr">
        <is>
          <t>https://www.chevening.org/scholarship/argentina/</t>
        </is>
      </c>
    </row>
    <row r="29" ht="23.25" customHeight="1" s="47">
      <c r="A29" s="83" t="inlineStr">
        <is>
          <t>DAAD EPOS (development-related)</t>
        </is>
      </c>
      <c r="B29" s="82" t="inlineStr">
        <is>
          <t>Alemania</t>
        </is>
      </c>
      <c r="C29" s="82" t="inlineStr">
        <is>
          <t>€992/mes fully funded</t>
        </is>
      </c>
      <c r="D29" s="82" t="inlineStr">
        <is>
          <t>ARG</t>
        </is>
      </c>
      <c r="E29" s="86" t="inlineStr">
        <is>
          <t>✅</t>
        </is>
      </c>
      <c r="F29" s="82" t="inlineStr">
        <is>
          <t>~ago 2026</t>
        </is>
      </c>
      <c r="G29" s="82" t="inlineStr">
        <is>
          <t>DEEP DIVE 17-jul-2026: máx. 3 cursos EPOS/ciclo; exige ≥2 AÑOS de experiencia POST-título al aplicar (⚠️ VERIFICAR contra fecha de egreso). Curso estrella T2: HTW Berlin MA International &amp; Development Economics (MIDE) — DEADLINE 31-AGO-2026. Se aplica al portal de cada universidad. €992/mes + vuelos + seguro + alemán.</t>
        </is>
      </c>
      <c r="H29" s="82" t="inlineStr">
        <is>
          <t>https://www2.daad.de/deutschland/stipendium/datenbank/en/21148-scholarship-database/?detail=50076777</t>
        </is>
      </c>
    </row>
    <row r="30" ht="34.5" customHeight="1" s="47">
      <c r="A30" s="83" t="inlineStr">
        <is>
          <t>DAAD Helmut Schmidt (PPGG)</t>
        </is>
      </c>
      <c r="B30" s="82" t="inlineStr">
        <is>
          <t>Alemania (7 unis PPGG)</t>
        </is>
      </c>
      <c r="C30" s="82" t="inlineStr">
        <is>
          <t>FULL: estipendio ~€992/mes + seguro + viaje + curso de alemán 6 meses (unis sin tuition)</t>
        </is>
      </c>
      <c r="D30" s="82" t="inlineStr">
        <is>
          <t>Países en desarrollo/emergentes — ARG elegible</t>
        </is>
      </c>
      <c r="E30" s="86" t="inlineStr">
        <is>
          <t>⚠️</t>
        </is>
      </c>
      <c r="F30" s="82" t="inlineStr">
        <is>
          <t>31-jul-2026 (ventana 1-jun a 31-jul-2026, intake 2027)</t>
        </is>
      </c>
      <c r="G30" s="82" t="inlineStr">
        <is>
          <t>Verificado jul-2026: Argentina elegible, PERO solo másters PPGG (public policy/governance): Development &amp; Governance (Duisburg-Essen), Public Policy (Erfurt), Development Studies y Governance (Passau), Social Protection (H-BRS), etc. NO cubre MSc Economics → fit parcial con track 2 (desarrollo/policy). Aplicación directa a las unis (hasta 2 cursos). Resultado dic-2026/ene-2027; curso de alemán arranca ~feb-2027.</t>
        </is>
      </c>
      <c r="H30" s="82" t="inlineStr">
        <is>
          <t>https://www.daad.de/en/studying-in-germany/scholarships/daad-funding-programmes/helmut-schmidt-programme/</t>
        </is>
      </c>
    </row>
    <row r="31" ht="15" customHeight="1" s="47">
      <c r="A31" s="83" t="inlineStr">
        <is>
          <t>Deutschlandstipendium</t>
        </is>
      </c>
      <c r="B31" s="82" t="inlineStr">
        <is>
          <t>Alemania</t>
        </is>
      </c>
      <c r="C31" s="82" t="inlineStr">
        <is>
          <t>€300/mes</t>
        </is>
      </c>
      <c r="D31" s="82" t="inlineStr">
        <is>
          <t>TODOS</t>
        </is>
      </c>
      <c r="E31" s="86" t="inlineStr">
        <is>
          <t>✅</t>
        </is>
      </c>
      <c r="F31" s="82" t="inlineStr">
        <is>
          <t>Por universidad</t>
        </is>
      </c>
      <c r="G31" s="82" t="inlineStr">
        <is>
          <t>Mérito; complementaria (matrícula alemana ya es €0).</t>
        </is>
      </c>
      <c r="H31" s="82" t="inlineStr">
        <is>
          <t>https://www.deutschlandstipendium.de/</t>
        </is>
      </c>
    </row>
    <row r="32" ht="23.25" customHeight="1" s="47">
      <c r="A32" s="83" t="inlineStr">
        <is>
          <t>Erasmus Mundus (QEM, EPOG+)</t>
        </is>
      </c>
      <c r="B32" s="82" t="inlineStr">
        <is>
          <t>Europa multi-país</t>
        </is>
      </c>
      <c r="C32" s="82" t="inlineStr">
        <is>
          <t>Tuition + €1.400/mes + viajes (~€49k total)</t>
        </is>
      </c>
      <c r="D32" s="82" t="inlineStr">
        <is>
          <t>ESP/TODOS</t>
        </is>
      </c>
      <c r="E32" s="86" t="inlineStr">
        <is>
          <t>✅</t>
        </is>
      </c>
      <c r="F32" s="82" t="inlineStr">
        <is>
          <t>oct-ene (ronda con beca)</t>
        </is>
      </c>
      <c r="G32" s="82" t="inlineStr">
        <is>
          <t>Pasaporte ESP = Programme Country, NO bloquea. QEM sin GRE.</t>
        </is>
      </c>
      <c r="H32" s="82" t="inlineStr">
        <is>
          <t>https://erasmus-plus.ec.europa.eu/</t>
        </is>
      </c>
    </row>
    <row r="33" ht="23.25" customHeight="1" s="47">
      <c r="A33" s="83" t="inlineStr">
        <is>
          <t>World Bank JJ/WBGSP</t>
        </is>
      </c>
      <c r="B33" s="82" t="inlineStr">
        <is>
          <t>Europa/global</t>
        </is>
      </c>
      <c r="C33" s="82" t="inlineStr">
        <is>
          <t>Fully funded</t>
        </is>
      </c>
      <c r="D33" s="82" t="inlineStr">
        <is>
          <t>ARG</t>
        </is>
      </c>
      <c r="E33" s="86" t="inlineStr">
        <is>
          <t>✅</t>
        </is>
      </c>
      <c r="F33" s="82" t="inlineStr">
        <is>
          <t>ene-feb</t>
        </is>
      </c>
      <c r="G33" s="82" t="inlineStr">
        <is>
          <t>Vía Argentina (país en desarrollo). Requiere experiencia. Confirmar lista de programas elegibles.</t>
        </is>
      </c>
      <c r="H33" s="82" t="inlineStr">
        <is>
          <t>https://www.worldbank.org/en/programs/scholarships</t>
        </is>
      </c>
    </row>
    <row r="34" ht="23.25" customHeight="1" s="47">
      <c r="A34" s="83" t="inlineStr">
        <is>
          <t>Ireland Fellows — Latin America (Cecilia Grierson Award)</t>
        </is>
      </c>
      <c r="B34" s="82" t="inlineStr">
        <is>
          <t>Irlanda</t>
        </is>
      </c>
      <c r="C34" s="82" t="inlineStr">
        <is>
          <t>FULL: fees + vuelos + alojamiento + €700/mes + settling-in</t>
        </is>
      </c>
      <c r="D34" s="82" t="inlineStr">
        <is>
          <t>Resident national ARG (award Grierson: ARG/BOL/PAR)</t>
        </is>
      </c>
      <c r="E34" s="86" t="inlineStr">
        <is>
          <t>❌</t>
        </is>
      </c>
      <c r="F34" s="82" t="inlineStr">
        <is>
          <t>Stage 1: 29-jun a 26-jul-2026 (ciclo 2027-28)</t>
        </is>
      </c>
      <c r="G34" s="82" t="inlineStr">
        <is>
          <t>Verificado jul-2026 (guidance note oficial): para argentinos el award Grierson es SOLO STEMM — secciones B/E/I/K del directorio (Engineering, Salud, Data/IT, Food Science). MSc Economics (sección J) y Development (C) NO elegibles. Además exige 3 años de experiencia laboral relevante y máx. 2 postulaciones históricas. Solo serviría si aceptara pivotar a MSc Data Analytics/Data Science (sección I).</t>
        </is>
      </c>
      <c r="H34" s="82" t="inlineStr">
        <is>
          <t>https://www.ireland.ie/en/ireland-fellows-programme/applying-for-the-ireland-fellows-programme/ireland-fellows-latin-america/</t>
        </is>
      </c>
    </row>
    <row r="35" ht="34.5" customHeight="1" s="47">
      <c r="A35" s="81" t="inlineStr">
        <is>
          <t>Eiffel Excellence</t>
        </is>
      </c>
      <c r="B35" s="75" t="inlineStr">
        <is>
          <t>Francia (PSE/TSE/ENSAE/SciencesPo)</t>
        </is>
      </c>
      <c r="C35" s="75" t="inlineStr">
        <is>
          <t>Estipendio + extras</t>
        </is>
      </c>
      <c r="D35" s="75" t="inlineStr">
        <is>
          <t>TODOS</t>
        </is>
      </c>
      <c r="E35" s="88" t="inlineStr">
        <is>
          <t>✅</t>
        </is>
      </c>
      <c r="F35" s="75" t="inlineStr">
        <is>
          <t>~ene (aplica la universidad)</t>
        </is>
      </c>
      <c r="G35" s="75" t="inlineStr">
        <is>
          <t>RE-VERIFICADA 17-jul-2026 (Campus France): límite de edad máster CONFIRMADO ≤29 años (nacido después del 31-mar del año correspondiente) — cumple. €1.400+/mes, NO cubre matrícula (Francia ~€359 con pasaporte ESP, irrelevante). La postula LA UNIVERSIDAD (PSE/TSE/SciencesPo): pedirla al aplicar. Deadlines: internos ~nov-dic-2026, Campus France ~8-ene-2027. Doble nacionalidad OK (solo excluye franceses).</t>
        </is>
      </c>
      <c r="H35" s="75" t="inlineStr">
        <is>
          <t>https://www.campusfrance.org/en/the-france-excellence-eiffel-scholarship-program</t>
        </is>
      </c>
    </row>
    <row r="36" ht="23.25" customHeight="1" s="47">
      <c r="A36" s="81" t="inlineStr">
        <is>
          <t>Swiss Government Excellence</t>
        </is>
      </c>
      <c r="B36" s="75" t="inlineStr">
        <is>
          <t>Suiza</t>
        </is>
      </c>
      <c r="C36" s="75" t="inlineStr">
        <is>
          <t>Fully funded</t>
        </is>
      </c>
      <c r="D36" s="75" t="inlineStr">
        <is>
          <t>ARG</t>
        </is>
      </c>
      <c r="E36" s="88" t="inlineStr">
        <is>
          <t>❌</t>
        </is>
      </c>
      <c r="F36" s="75" t="inlineStr">
        <is>
          <t>—</t>
        </is>
      </c>
      <c r="G36" s="75" t="inlineStr">
        <is>
          <t>RATIFICADA 17-jul-2026 (sbfi.admin.ch 2027-28): solo Research/PhD (máster únicamente en ARTES); postdoc discontinuado desde 2027/28; requiere supervisor suizo; CHF 2.450/mes; abre 20-ago-2026. GUARDAR PARA EL PhD post-máster.</t>
        </is>
      </c>
      <c r="H36" s="75" t="inlineStr">
        <is>
          <t>https://www.sbfi.admin.ch/en/swiss-government-excellence-scholarships</t>
        </is>
      </c>
    </row>
    <row r="37" ht="15" customHeight="1" s="47">
      <c r="A37" s="78" t="inlineStr">
        <is>
          <t>Fulbright</t>
        </is>
      </c>
      <c r="B37" s="76" t="inlineStr">
        <is>
          <t>EE.UU.</t>
        </is>
      </c>
      <c r="C37" s="76" t="inlineStr">
        <is>
          <t>Fully funded</t>
        </is>
      </c>
      <c r="D37" s="76" t="inlineStr">
        <is>
          <t>ARG</t>
        </is>
      </c>
      <c r="E37" s="87" t="inlineStr">
        <is>
          <t>⚠️</t>
        </is>
      </c>
      <c r="F37" s="76" t="inlineStr">
        <is>
          <t>—</t>
        </is>
      </c>
      <c r="G37" s="76" t="inlineStr">
        <is>
          <t>REEVALUADA 17-jul-2026 (política NA relajada): Programa Regular Máster/Doctorado Fulbright ARG: pasaje + estipendio hasta US$3.231/mes + salud + asistencia para conseguir waiver de matrícula. Economía y desarrollo = área prioritaria. Requisitos: promedio ≥7 (7.82 ✓), ~2 años de experiencia post-título, inglés certificado. ❗El ciclo 2027-28 CERRÓ el 25-mar-2026 → solo sirve para intake 2028-29 (convocatoria ~ene-mar-2027). Decidir si se contempla arrancar en 2028.</t>
        </is>
      </c>
      <c r="H37" s="76" t="inlineStr">
        <is>
          <t>https://fulbright.edu.ar/course/beca-master-y-doctorado/</t>
        </is>
      </c>
    </row>
    <row r="38" ht="15" customHeight="1" s="47">
      <c r="A38" s="83" t="inlineStr">
        <is>
          <t>Prodigy Finance (préstamo, NO beca)</t>
        </is>
      </c>
      <c r="B38" s="82" t="inlineStr">
        <is>
          <t>UK/Internacional</t>
        </is>
      </c>
      <c r="C38" s="82" t="inlineStr">
        <is>
          <t>Préstamo según earning potential</t>
        </is>
      </c>
      <c r="D38" s="82" t="inlineStr">
        <is>
          <t>TODOS</t>
        </is>
      </c>
      <c r="E38" s="86" t="inlineStr">
        <is>
          <t>✅</t>
        </is>
      </c>
      <c r="F38" s="82" t="inlineStr">
        <is>
          <t>Cualquier momento</t>
        </is>
      </c>
      <c r="G38" s="82" t="inlineStr">
        <is>
          <t>Último recurso: es deuda, no beca.</t>
        </is>
      </c>
      <c r="H38" s="82" t="inlineStr">
        <is>
          <t>https://prodigyfinance.com/</t>
        </is>
      </c>
    </row>
    <row r="39" ht="15" customHeight="1" s="47">
      <c r="A39" s="84" t="inlineStr">
        <is>
          <t>— POR INVESTIGAR (pendientes del deep-dive) —</t>
        </is>
      </c>
      <c r="B39" s="85" t="n"/>
      <c r="C39" s="85" t="n"/>
      <c r="D39" s="85" t="n"/>
      <c r="E39" s="85" t="n"/>
      <c r="F39" s="85" t="n"/>
      <c r="G39" s="85" t="n"/>
      <c r="H39" s="85" t="n"/>
    </row>
    <row r="40" ht="23.25" customHeight="1" s="47">
      <c r="A40" s="81" t="inlineStr">
        <is>
          <t>Invest Your Talent in Italy / Borse Governo Italiano</t>
        </is>
      </c>
      <c r="B40" s="75" t="inlineStr">
        <is>
          <t>Italia</t>
        </is>
      </c>
      <c r="C40" s="75" t="inlineStr">
        <is>
          <t>Exención de matrícula + estipendio mensual (9 meses/año)</t>
        </is>
      </c>
      <c r="D40" s="75" t="inlineStr">
        <is>
          <t>ARG</t>
        </is>
      </c>
      <c r="E40" s="88" t="inlineStr">
        <is>
          <t>⚠️</t>
        </is>
      </c>
      <c r="F40" s="75" t="inlineStr">
        <is>
          <t>Convocatoria abr-may 2027 (intake sep-2027)</t>
        </is>
      </c>
      <c r="G40" s="75" t="inlineStr">
        <is>
          <t>VERIFICADO 17-jul-2026 (Campus Arg. Global + esteri.it): "Economics and Administration" elegible; cursos en inglés + italiano y práctica obligatoria en empresa. ❗LÍMITE DE EDAD: hasta 25 años — verificar edad al aplicar. Partners incluyen unis top (chequear lista, p.ej. Politecnico/Padova/Bologna).</t>
        </is>
      </c>
      <c r="H40" s="75" t="inlineStr">
        <is>
          <t>https://investyourtalentapplication.esteri.it/SitoIYT/IT/invest-your-talent-in-italy</t>
        </is>
      </c>
    </row>
    <row r="41" ht="15" customHeight="1" s="47">
      <c r="A41" s="81" t="inlineStr">
        <is>
          <t>OeAD / Ernst Mach Grant</t>
        </is>
      </c>
      <c r="B41" s="75" t="inlineStr">
        <is>
          <t>Austria</t>
        </is>
      </c>
      <c r="C41" s="75" t="inlineStr">
        <is>
          <t>Estipendio</t>
        </is>
      </c>
      <c r="D41" s="75" t="inlineStr">
        <is>
          <t>ARG</t>
        </is>
      </c>
      <c r="E41" s="88" t="inlineStr">
        <is>
          <t>❌</t>
        </is>
      </c>
      <c r="F41" s="75" t="inlineStr">
        <is>
          <t>—</t>
        </is>
      </c>
      <c r="G41" s="75" t="inlineStr">
        <is>
          <t>RESUELTO 17-jul-2026: Ernst Mach financia estadías de INVESTIGACIÓN de 1-9 meses (o 4-10 meses en Fachhochschulen), NO másters completos → no sirve para MSc. Guardar para estancias futuras.</t>
        </is>
      </c>
      <c r="H41" s="75" t="inlineStr">
        <is>
          <t>—</t>
        </is>
      </c>
    </row>
    <row r="42" ht="15" customHeight="1" s="47">
      <c r="A42" s="81" t="inlineStr">
        <is>
          <t>ARES / VLIR-UOS</t>
        </is>
      </c>
      <c r="B42" s="75" t="inlineStr">
        <is>
          <t>Bélgica</t>
        </is>
      </c>
      <c r="C42" s="75" t="inlineStr">
        <is>
          <t>Fully funded (desarrollo)</t>
        </is>
      </c>
      <c r="D42" s="75" t="inlineStr">
        <is>
          <t>ARG</t>
        </is>
      </c>
      <c r="E42" s="88" t="inlineStr">
        <is>
          <t>❌</t>
        </is>
      </c>
      <c r="F42" s="75" t="inlineStr">
        <is>
          <t>—</t>
        </is>
      </c>
      <c r="G42" s="75" t="inlineStr">
        <is>
          <t>RESUELTO 17-jul-2026: Argentina NO está en las listas de países elegibles (VLIR-UOS: 29 países, LatAm solo Bolivia/Cuba/Ecuador/Haití/Nicaragua/Perú; ARES: 31 países, ídem + exige residir y trabajar en país elegible). RATIFICADA en programa quinquenal 2027-2032 (misma lista, exige residir y trabajar allí).</t>
        </is>
      </c>
      <c r="H42" s="75" t="inlineStr">
        <is>
          <t>—</t>
        </is>
      </c>
    </row>
    <row r="43" ht="23.25" customHeight="1" s="47">
      <c r="A43" s="81" t="inlineStr">
        <is>
          <t>Swedish Institute + opciones nórdicas</t>
        </is>
      </c>
      <c r="B43" s="75" t="inlineStr">
        <is>
          <t>Nórdicos</t>
        </is>
      </c>
      <c r="C43" s="75" t="inlineStr">
        <is>
          <t>—</t>
        </is>
      </c>
      <c r="D43" s="75" t="inlineStr">
        <is>
          <t>—</t>
        </is>
      </c>
      <c r="E43" s="88" t="inlineStr">
        <is>
          <t>❌</t>
        </is>
      </c>
      <c r="F43" s="75" t="inlineStr">
        <is>
          <t>—</t>
        </is>
      </c>
      <c r="G43" s="75" t="inlineStr">
        <is>
          <t>RESUELTO 17-jul-2026: Argentina NO está en la lista de 34 países elegibles del SI Scholarship for Global Professionals 2026. Además Suecia ya es tuition-free vía pasaporte EU (solo faltaría costo de vida). RATIFICADA p/ ciclo 2027: lista de 34 países sin cambios.</t>
        </is>
      </c>
      <c r="H43" s="75" t="inlineStr">
        <is>
          <t>—</t>
        </is>
      </c>
    </row>
    <row r="44" ht="23.25" customHeight="1" s="47">
      <c r="A44" s="81" t="inlineStr">
        <is>
          <t>Fundaciones políticas alemanas (KAS, FES, Böll, Naumann)</t>
        </is>
      </c>
      <c r="B44" s="75" t="inlineStr">
        <is>
          <t>Alemania</t>
        </is>
      </c>
      <c r="C44" s="75" t="inlineStr">
        <is>
          <t>Estipendio completo</t>
        </is>
      </c>
      <c r="D44" s="75" t="inlineStr">
        <is>
          <t>TODOS</t>
        </is>
      </c>
      <c r="E44" s="88" t="inlineStr">
        <is>
          <t>⚠️</t>
        </is>
      </c>
      <c r="F44" s="75" t="inlineStr">
        <is>
          <t>—</t>
        </is>
      </c>
      <c r="G44" s="75" t="inlineStr">
        <is>
          <t>RESUELTO 17-jul-2026: KAS da €992/mes + extras pero EXIGE alemán B2 antes de empezar y máster de 4 semestres en Alemania (deadline 15-jul anual); FES similar. Solo viable si aprende alemán y elige máster de 2 años (p.ej. Bonn/Mannheim) → guardar como complemento de vida para Alemania, no bloqueante.</t>
        </is>
      </c>
      <c r="H44" s="75" t="inlineStr">
        <is>
          <t>—</t>
        </is>
      </c>
    </row>
    <row r="45" ht="15" customHeight="1" s="47">
      <c r="A45" s="81" t="inlineStr">
        <is>
          <t>Rotary Global Grant / Aga Khan ISP</t>
        </is>
      </c>
      <c r="B45" s="75" t="inlineStr">
        <is>
          <t>Global</t>
        </is>
      </c>
      <c r="C45" s="75" t="inlineStr">
        <is>
          <t>US$30k+ / parcial</t>
        </is>
      </c>
      <c r="D45" s="75" t="inlineStr">
        <is>
          <t>TODOS</t>
        </is>
      </c>
      <c r="E45" s="88" t="inlineStr">
        <is>
          <t>⚠️</t>
        </is>
      </c>
      <c r="F45" s="75" t="inlineStr">
        <is>
          <t>—</t>
        </is>
      </c>
      <c r="G45" s="75" t="inlineStr">
        <is>
          <t>RESUELTO 17-jul-2026: Rotary Global Grant ✅ VIABLE: US$30.600 (matrícula + vida + pasaje) para posgrado en las 6 áreas de foco — "economic and community development" encaja con track T2. Requiere patrocinio de un club Rotary local (CABA) + club anfitrión en destino; empezar contacto con distrito Rotary BA ~sep-2026. Aga Khan ISP ❌: ARG fuera de la lista (13 países) y es 50% préstamo.</t>
        </is>
      </c>
      <c r="H45" s="75" t="inlineStr">
        <is>
          <t>—</t>
        </is>
      </c>
    </row>
    <row r="46" ht="15" customHeight="1" s="47">
      <c r="A46" s="81" t="inlineStr">
        <is>
          <t>BEC.AR y sucesores (gobierno argentino)</t>
        </is>
      </c>
      <c r="B46" s="75" t="inlineStr">
        <is>
          <t>Global</t>
        </is>
      </c>
      <c r="C46" s="75" t="inlineStr">
        <is>
          <t>—</t>
        </is>
      </c>
      <c r="D46" s="75" t="inlineStr">
        <is>
          <t>ARG</t>
        </is>
      </c>
      <c r="E46" s="88" t="inlineStr">
        <is>
          <t>❌</t>
        </is>
      </c>
      <c r="F46" s="75" t="inlineStr">
        <is>
          <t>—</t>
        </is>
      </c>
      <c r="G46" s="75" t="inlineStr">
        <is>
          <t>RESUELTO 17-jul-2026: BEC.AR vigente pero financia CURSOS CORTOS en áreas estratégicas (IA, biotech, economía digital, energías, nuclear, idiomas) — no cubre un MSc Economics completo.</t>
        </is>
      </c>
      <c r="H46" s="75" t="inlineStr">
        <is>
          <t>—</t>
        </is>
      </c>
    </row>
    <row r="47" ht="23.25" customHeight="1" s="47">
      <c r="A47" s="81" t="inlineStr">
        <is>
          <t>Stipendium Hungaricum (Gobierno de Hungría)</t>
        </is>
      </c>
      <c r="B47" s="75" t="inlineStr">
        <is>
          <t>Hungría (p.ej. Corvinus)</t>
        </is>
      </c>
      <c r="C47" s="75" t="inlineStr">
        <is>
          <t>FULL: matrícula + estipendio + alojamiento + seguro</t>
        </is>
      </c>
      <c r="D47" s="75" t="inlineStr">
        <is>
          <t>ARG (acuerdo bilateral)</t>
        </is>
      </c>
      <c r="E47" s="88" t="inlineStr">
        <is>
          <t>⚠️</t>
        </is>
      </c>
      <c r="F47" s="75" t="inlineStr">
        <is>
          <t>Deadline 15-ene-2027 (conv. abre ~nov-2026)</t>
        </is>
      </c>
      <c r="G47" s="75" t="inlineStr">
        <is>
          <t>DEEP DIVE 17-jul-2026: Argentina CONFIRMADA como sending partner (bilateral + vía SEGIB). ❗Requiere NOMINACIÓN de la autoridad argentina (Ministerio de Educación / Campus Argentina Global) — averiguar proceso local con tiempo. Full: matrícula + estipendio + alojamiento + seguro. Fit moderado (Corvinus) → respaldo.</t>
        </is>
      </c>
      <c r="H47" s="75" t="inlineStr">
        <is>
          <t>https://stipendiumhungaricum.hu/</t>
        </is>
      </c>
    </row>
    <row r="48" ht="23.25" customHeight="1" s="47">
      <c r="A48" s="84" t="inlineStr">
        <is>
          <t>— LISTA NUEVA VERIFICADA 17-jul-2026 (informe: BECAS_veredictos_lista_24.md) —</t>
        </is>
      </c>
      <c r="B48" s="85" t="n"/>
      <c r="C48" s="85" t="n"/>
      <c r="D48" s="85" t="n"/>
      <c r="E48" s="85" t="n"/>
      <c r="F48" s="85" t="n"/>
      <c r="G48" s="85" t="n"/>
      <c r="H48" s="85" t="n"/>
    </row>
    <row r="49" ht="23.25" customHeight="1" s="47">
      <c r="A49" s="81" t="inlineStr">
        <is>
          <t>DAAD Study Scholarship — másters todas las disciplinas</t>
        </is>
      </c>
      <c r="B49" s="75" t="inlineStr">
        <is>
          <t>Alemania (cualquier uni)</t>
        </is>
      </c>
      <c r="C49" s="75" t="inlineStr">
        <is>
          <t>~€992/mes × 10-24 meses (+ seguro, viaje)</t>
        </is>
      </c>
      <c r="D49" s="75" t="inlineStr">
        <is>
          <t>ARG</t>
        </is>
      </c>
      <c r="E49" s="88" t="inlineStr">
        <is>
          <t>✅</t>
        </is>
      </c>
      <c r="F49" s="75" t="inlineStr">
        <is>
          <t>DEADLINE CONFIRMADO: 30-oct-2026 (funding oct-2027)</t>
        </is>
      </c>
      <c r="G49" s="75" t="inlineStr">
        <is>
          <t>⭐ CONFIRMADA 17-jul-2026 (DAAD Argentina): deadline 30-oct-2026, selección primavera 2027, funding oct-2027. Título ≤6 años ✓. ~€992/mes × 10-24 meses. Sobre matrícula alemana GRATIS convierte Bonn/Mannheim/Goethe en paquete full. Distinta de EPOS (cubre cualquier máster). Preparar desde fines de agosto.</t>
        </is>
      </c>
      <c r="H49" s="75" t="inlineStr">
        <is>
          <t>https://www2.daad.de/deutschland/stipendium/datenbank/en/21148-scholarship-database/?detail=50026200</t>
        </is>
      </c>
    </row>
    <row r="50" ht="34.5" customHeight="1" s="47">
      <c r="A50" s="81" t="inlineStr">
        <is>
          <t>Master Mind Scholarship (Gobierno de Flandes)</t>
        </is>
      </c>
      <c r="B50" s="75" t="inlineStr">
        <is>
          <t>Bélgica (KU Leuven, Gante, Amberes)</t>
        </is>
      </c>
      <c r="C50" s="75" t="inlineStr">
        <is>
          <t>€10.225/año + matrícula reducida a ~€137</t>
        </is>
      </c>
      <c r="D50" s="75" t="inlineStr">
        <is>
          <t>TODOS (excepto Rusia)</t>
        </is>
      </c>
      <c r="E50" s="88" t="inlineStr">
        <is>
          <t>✅</t>
        </is>
      </c>
      <c r="F50" s="75" t="inlineStr">
        <is>
          <t>feb a abr-2027 (fija la institución anfitriona)</t>
        </is>
      </c>
      <c r="G50" s="75" t="inlineStr">
        <is>
          <t>⭐ GRAN FIT: KU Leuven ya está 4.70 en el Ranking → Master Mind la deja a costo ~cero + estipendio. Requisitos: título de fuera de Flandes ✓, GPA 3.5/4 (7.82/10 cum laude argumentable), inglés ✓. Se aplica VÍA la universidad, no directo. 1 año (60 ECTS) = 1 año de beca.</t>
        </is>
      </c>
      <c r="H50" s="75" t="inlineStr">
        <is>
          <t>https://www.studyinflanders.be/scholarships/master-mind-scholarships</t>
        </is>
      </c>
    </row>
    <row r="51" ht="45.75" customHeight="1" s="47">
      <c r="A51" s="81" t="inlineStr">
        <is>
          <t>ETH Excellence Scholarship (ESOP)</t>
        </is>
      </c>
      <c r="B51" s="75" t="inlineStr">
        <is>
          <t>Suiza (ETH Zürich)</t>
        </is>
      </c>
      <c r="C51" s="75" t="inlineStr">
        <is>
          <t>CHF 12.000/semestre + waiver + mentoring (~60 becas)</t>
        </is>
      </c>
      <c r="D51" s="75" t="inlineStr">
        <is>
          <t>TODOS</t>
        </is>
      </c>
      <c r="E51" s="88" t="inlineStr">
        <is>
          <t>⚠️</t>
        </is>
      </c>
      <c r="F51" s="75" t="inlineStr">
        <is>
          <t>Ventana única: 1-30 nov-2026 (intake otoño 2027)</t>
        </is>
      </c>
      <c r="G51" s="75" t="inlineStr">
        <is>
          <t>Exige top 10% del grado (autoevaluación; cum laude argumentable). ❗ETH no tiene MSc Economics puro: fit real = MSc MTEC (Management, Technology &amp; Economics) o MSc Quantitative Finance (joint UZH). Solo vale la primera ventana de aplicación. Evaluar si MTEC/QF entran en T1.</t>
        </is>
      </c>
      <c r="H51" s="75" t="inlineStr">
        <is>
          <t>https://ethz.ch/students/en/studies/financial/scholarships/excellencescholarship.html</t>
        </is>
      </c>
    </row>
    <row r="52" ht="34.5" customHeight="1" s="47">
      <c r="A52" s="81" t="inlineStr">
        <is>
          <t>Government of Ireland IES (GOI-IES)</t>
        </is>
      </c>
      <c r="B52" s="75" t="inlineStr">
        <is>
          <t>Irlanda (TCD/UCD/etc.)</t>
        </is>
      </c>
      <c r="C52" s="75" t="inlineStr">
        <is>
          <t>€10.000 + waiver TOTAL de matrícula (60 becas)</t>
        </is>
      </c>
      <c r="D52" s="75" t="inlineStr">
        <is>
          <t>Domicilio fuera UE + fee status non-EU (ARG ✓)</t>
        </is>
      </c>
      <c r="E52" s="88" t="inlineStr">
        <is>
          <t>✅</t>
        </is>
      </c>
      <c r="F52" s="75" t="inlineStr">
        <is>
          <t>Conv. 2027/28 TBA — patrón: abre ~fines de ene, cierra ~mediados de mar-2027</t>
        </is>
      </c>
      <c r="G52" s="75" t="inlineStr">
        <is>
          <t>❗HALLAZGO ASOCIADO: en Irlanda el fee status EU exige residencia UE 3 de los últimos 5 años → residiendo en ARG, Manuel paga fees NON-EU aunque tenga pasaporte español (CORREGIR supuesto "Irlanda=EU tuition" del perfil). Eso mismo lo hace elegible para GOI-IES (elegibilidad por domicilio, no ciudadanía). Rusos/bielorrusos excluidos; una sola vez. Ciclo 2026/27: 29-ene a 12-mar-2026. Contacto: goi-ies@hea.ie.</t>
        </is>
      </c>
      <c r="H52" s="75" t="inlineStr">
        <is>
          <t>https://hea.ie/policy/internationalisation/goi-ies/</t>
        </is>
      </c>
    </row>
    <row r="53" ht="23.25" customHeight="1" s="47">
      <c r="A53" s="81" t="inlineStr">
        <is>
          <t>Gates Cambridge</t>
        </is>
      </c>
      <c r="B53" s="75" t="inlineStr">
        <is>
          <t>UK (Cambridge — MPhil Econ)</t>
        </is>
      </c>
      <c r="C53" s="75" t="inlineStr">
        <is>
          <t>FULL: tuition + £21.000/año + extras</t>
        </is>
      </c>
      <c r="D53" s="75" t="inlineStr">
        <is>
          <t>TODOS (no-UK)</t>
        </is>
      </c>
      <c r="E53" s="88" t="inlineStr">
        <is>
          <t>✅</t>
        </is>
      </c>
      <c r="F53" s="75" t="inlineStr">
        <is>
          <t>Con la app Cambridge: dic-2026/ene-2027 según curso (ronda intl)</t>
        </is>
      </c>
      <c r="G53" s="75" t="inlineStr">
        <is>
          <t>Se solicita tildando funding en la aplicación de posgrado a Cambridge (abre sep-2026). Perfil: excelencia académica + liderazgo + compromiso social (mismo material que McCall MacBain — reusar). MPhil Economics/Economic Research ya estaba en el radar.</t>
        </is>
      </c>
      <c r="H53" s="75" t="inlineStr">
        <is>
          <t>https://www.gatescambridge.org/apply/timeline/</t>
        </is>
      </c>
    </row>
    <row r="54" ht="34.5" customHeight="1" s="47">
      <c r="A54" s="81" t="inlineStr">
        <is>
          <t>Clarendon Fund (Oxford)</t>
        </is>
      </c>
      <c r="B54" s="75" t="inlineStr">
        <is>
          <t>UK (Oxford — MPhil Econ)</t>
        </is>
      </c>
      <c r="C54" s="75" t="inlineStr">
        <is>
          <t>FULL: tuition + estipendio (~140+ becas/año)</t>
        </is>
      </c>
      <c r="D54" s="75" t="inlineStr">
        <is>
          <t>TODOS</t>
        </is>
      </c>
      <c r="E54" s="88" t="inlineStr">
        <is>
          <t>✅</t>
        </is>
      </c>
      <c r="F54" s="75" t="inlineStr">
        <is>
          <t>Automática con la app Oxford (~ene-2027, usar deadline temprana)</t>
        </is>
      </c>
      <c r="G54" s="75" t="inlineStr">
        <is>
          <t>Consideración AUTOMÁTICA con la aplicación a Oxford — sin form aparte. Sinergia triple sobre una misma app: Clarendon + Weidenfeld-Hoffmann/Louis Dreyfus + college funds. El score de financiabilidad de Oxford/Cambridge en el Ranking UK merece revisión al alza.</t>
        </is>
      </c>
      <c r="H54" s="75" t="inlineStr">
        <is>
          <t>https://www.ox.ac.uk/clarendon</t>
        </is>
      </c>
    </row>
    <row r="55" ht="23.25" customHeight="1" s="47">
      <c r="A55" s="81" t="inlineStr">
        <is>
          <t>DSU Italia (borse regionali diritto allo studio)</t>
        </is>
      </c>
      <c r="B55" s="75" t="inlineStr">
        <is>
          <t>Italia (ER.GO Bologna, EDISU, DSU Toscana...)</t>
        </is>
      </c>
      <c r="C55" s="75" t="inlineStr">
        <is>
          <t>Hasta ~€7.200/año + alojamiento + comedor + exención total de tasas</t>
        </is>
      </c>
      <c r="D55" s="75" t="inlineStr">
        <is>
          <t>TODOS (need-based por ISEE familiar)</t>
        </is>
      </c>
      <c r="E55" s="88" t="inlineStr">
        <is>
          <t>⚠️</t>
        </is>
      </c>
      <c r="F55" s="75" t="inlineStr">
        <is>
          <t>Ago-sep-2027 (tras la admisión, ente regional)</t>
        </is>
      </c>
      <c r="G55" s="75" t="inlineStr">
        <is>
          <t>NUEVA 17-jul-2026: need-based abierta a internacionales (EU y non-EU). Umbral ISEE ~&lt;€26-27k (full con &lt;~€14k; parcial hasta ~€30k). SOLO sirve si el ingreso familiar califica — calcular ISEE parificato antes de contar con ella. Combina con Bologna/Padova/Bocconi + IYT.</t>
        </is>
      </c>
      <c r="H55" s="75" t="inlineStr">
        <is>
          <t>https://catchthatscholarship.com/scholarships/italy/how-to-apply-to-regional-scholarships/</t>
        </is>
      </c>
    </row>
    <row r="56" ht="34.5" customHeight="1" s="47">
      <c r="A56" s="81" t="inlineStr">
        <is>
          <t>Descartes verificados de la lista nueva (no re-investigar)</t>
        </is>
      </c>
      <c r="B56" s="75" t="inlineStr">
        <is>
          <t>—</t>
        </is>
      </c>
      <c r="C56" s="75" t="inlineStr">
        <is>
          <t>—</t>
        </is>
      </c>
      <c r="D56" s="75" t="inlineStr">
        <is>
          <t>—</t>
        </is>
      </c>
      <c r="E56" s="88" t="inlineStr">
        <is>
          <t>❌</t>
        </is>
      </c>
      <c r="F56" s="75" t="inlineStr">
        <is>
          <t>—</t>
        </is>
      </c>
      <c r="G56" s="75" t="inlineStr">
        <is>
          <t>17-jul-2026: Rhodes Global SUSPENDIDA por el Board (aviso oficial; ARG sin constituency) · Commonwealth Master's (solo países Commonwealth) · Reach Oxford (solo grado) · GREAT (ARG fuera de los 18 países) · Yale (solo becas parciales en MA IDE; full solo PhD) · Harvard (sin MA econ; HKS MPA/ID aid parcial) · AAUW (solo mujeres). Detalle completo: BECAS_veredictos_lista_24.md</t>
        </is>
      </c>
      <c r="H56" s="75" t="inlineStr">
        <is>
          <t>—</t>
        </is>
      </c>
    </row>
    <row r="57" ht="34.5" customHeight="1" s="47">
      <c r="A57" s="84" t="inlineStr">
        <is>
          <t>— NÓRDICOS DEEP DIVE 17-jul-2026 (informe: BECAS_nordicos_y_reevaluaciones.md) —</t>
        </is>
      </c>
      <c r="B57" s="85" t="n"/>
      <c r="C57" s="85" t="n"/>
      <c r="D57" s="85" t="n"/>
      <c r="E57" s="85" t="n"/>
      <c r="F57" s="85" t="n"/>
      <c r="G57" s="85" t="n"/>
      <c r="H57" s="85" t="n"/>
    </row>
    <row r="58" ht="34.5" customHeight="1" s="47">
      <c r="A58" s="81" t="inlineStr">
        <is>
          <t>Dinamarca — SU (equal status trabajador EU)</t>
        </is>
      </c>
      <c r="B58" s="75" t="inlineStr">
        <is>
          <t>Dinamarca (Aarhus MSc Economics)</t>
        </is>
      </c>
      <c r="C58" s="75" t="inlineStr">
        <is>
          <t>~DKK 7.000+/mes de grant estatal</t>
        </is>
      </c>
      <c r="D58" s="75" t="inlineStr">
        <is>
          <t>EU (vía pasaporte ESP) con trabajo 10-12 h/sem</t>
        </is>
      </c>
      <c r="E58" s="88" t="inlineStr">
        <is>
          <t>✅</t>
        </is>
      </c>
      <c r="F58" s="75" t="inlineStr">
        <is>
          <t>Solicitar al llegar (minSU + equal status en 3 semanas)</t>
        </is>
      </c>
      <c r="G58" s="75" t="inlineStr">
        <is>
          <t>⭐ LA JUGADA NÓRDICA: matrícula gratis + SU con status de trabajador EU (10-12 h/sem sostenidas ~10 semanas antes y durante; contrato formal &gt; changas). Aarhus (4.70 en Ranking) pasa a ser AUTOFINANCIABLE: 0 matrícula + SU + salario. Riesgo: mantener horas o devolución.</t>
        </is>
      </c>
      <c r="H58" s="75" t="inlineStr">
        <is>
          <t>https://www.su.dk/english</t>
        </is>
      </c>
    </row>
    <row r="59">
      <c r="A59" s="81" t="inlineStr">
        <is>
          <t>Noruega — Lånekassen vía trabajador EEA</t>
        </is>
      </c>
      <c r="B59" s="75" t="inlineStr">
        <is>
          <t>Noruega (NHH, UiO)</t>
        </is>
      </c>
      <c r="C59" s="75" t="inlineStr">
        <is>
          <t>Préstamo/beca estatal (parcial)</t>
        </is>
      </c>
      <c r="D59" s="75" t="inlineStr">
        <is>
          <t>EU con empleo real en Noruega</t>
        </is>
      </c>
      <c r="E59" s="88" t="inlineStr">
        <is>
          <t>⚠️</t>
        </is>
      </c>
      <c r="F59" s="75" t="inlineStr">
        <is>
          <t>—</t>
        </is>
      </c>
      <c r="G59" s="75" t="inlineStr">
        <is>
          <t>Matrícula gratis (EU). Vía análoga a la danesa pero menos generosa y más burocrática; costo de vida el más alto (~€16-18k/año). Dinamarca domina en el bloque.</t>
        </is>
      </c>
      <c r="H59" s="75" t="inlineStr">
        <is>
          <t>https://lanekassen.no/en-US/</t>
        </is>
      </c>
    </row>
    <row r="60">
      <c r="A60" s="81" t="inlineStr">
        <is>
          <t>Suecia / Finlandia / Islandia — sin becas para EU</t>
        </is>
      </c>
      <c r="B60" s="75" t="inlineStr">
        <is>
          <t>SSE, Lund, Uppsala / Aalto, Helsinki / —</t>
        </is>
      </c>
      <c r="C60" s="75" t="inlineStr">
        <is>
          <t>—</t>
        </is>
      </c>
      <c r="D60" s="75" t="inlineStr">
        <is>
          <t>—</t>
        </is>
      </c>
      <c r="E60" s="88" t="inlineStr">
        <is>
          <t>❌</t>
        </is>
      </c>
      <c r="F60" s="75" t="inlineStr">
        <is>
          <t>—</t>
        </is>
      </c>
      <c r="G60" s="75" t="inlineStr">
        <is>
          <t>CERRADO 17-jul-2026: todas las becas suecas (SISGP, university scholarships) y finlandesas (waivers, Finland Scholarship) son para non-EU fee-payers → irrelevantes con pasaporte ESP (matrícula ya es 0). CSN/KELA solo residentes. Islandia sin MSc econ relevante. Plan: matrícula 0 + part-time (legal ilimitado EU) + ahorros. Finlandia = vida más barata del bloque; SSE = prestigio.</t>
        </is>
      </c>
      <c r="H60" s="75" t="inlineStr">
        <is>
          <t>—</t>
        </is>
      </c>
    </row>
    <row r="61">
      <c r="A61" s="84" t="inlineStr">
        <is>
          <t>— NORTEAMÉRICA FULL-FUNDING (barrida 17-jul-2026) —</t>
        </is>
      </c>
      <c r="B61" s="85" t="n"/>
      <c r="C61" s="85" t="n"/>
      <c r="D61" s="85" t="n"/>
      <c r="E61" s="85" t="n"/>
      <c r="F61" s="85" t="n"/>
      <c r="G61" s="85" t="n"/>
      <c r="H61" s="85" t="n"/>
    </row>
    <row r="62">
      <c r="A62" s="81" t="inlineStr">
        <is>
          <t>Knight-Hennessy Scholars (Stanford)</t>
        </is>
      </c>
      <c r="B62" s="75" t="inlineStr">
        <is>
          <t>EE.UU. (Stanford)</t>
        </is>
      </c>
      <c r="C62" s="75" t="inlineStr">
        <is>
          <t>FULL: tuition + estipendio + viáticos + gastos académicos</t>
        </is>
      </c>
      <c r="D62" s="75" t="inlineStr">
        <is>
          <t>TODOS (título ≤7 años)</t>
        </is>
      </c>
      <c r="E62" s="88" t="inlineStr">
        <is>
          <t>⚠️</t>
        </is>
      </c>
      <c r="F62" s="75" t="inlineStr">
        <is>
          <t>6-oct-2026 (cohorte 2027)</t>
        </is>
      </c>
      <c r="G62" s="75" t="inlineStr">
        <is>
          <t>Full funding tipo McCall para CUALQUIER posgrado full-time de Stanford. ❗Stanford NO tiene MSc/MA Economics (solo PhD) → vía realista: PhD Economics directo (deadline ~dic-2026, GRE) o MPP/MS. Solo tiene sentido si Manuel decide saltar directo a PhD. Sin cuotas por nacionalidad.</t>
        </is>
      </c>
      <c r="H62" s="75" t="inlineStr">
        <is>
          <t>https://knight-hennessy.stanford.edu/</t>
        </is>
      </c>
    </row>
    <row r="63">
      <c r="A63" s="81" t="inlineStr">
        <is>
          <t>PBEEE — Bourses d'excellence Québec (V1 maîtrise)</t>
        </is>
      </c>
      <c r="B63" s="75" t="inlineStr">
        <is>
          <t>Canadá (Québec — McGill/UdeM)</t>
        </is>
      </c>
      <c r="C63" s="75" t="inlineStr">
        <is>
          <t>CAD 20.000/año (hasta CAD 40.000 en 6 sesiones)</t>
        </is>
      </c>
      <c r="D63" s="75" t="inlineStr">
        <is>
          <t>TODOS (extranjeros)</t>
        </is>
      </c>
      <c r="E63" s="88" t="inlineStr">
        <is>
          <t>✅</t>
        </is>
      </c>
      <c r="F63" s="75" t="inlineStr">
        <is>
          <t>FRQ: 2-dic-2026 (concurso 2027-28); antes, nominación de la universidad</t>
        </is>
      </c>
      <c r="G63" s="75" t="inlineStr">
        <is>
          <t>AGREGADA 17-jul-2026: APILABLE CON McGILL MA — requiere preselección/nominación de la universidad quebequense (pedir a McGill al aplicar, deadlines internos ~oct-nov-2026). No es full sola, pero CAD 40k + TA-ships acercan el MA de McGill a costo cero si no sale McCall MacBain.</t>
        </is>
      </c>
      <c r="H63" s="75" t="inlineStr">
        <is>
          <t>https://frq.gouv.qc.ca/programme/bourses-dexcellence-pour-etudiantes-etrangeres-et-etudiants-etrangers-pbeee-2027-2028/</t>
        </is>
      </c>
    </row>
    <row r="64">
      <c r="A64" s="81" t="inlineStr">
        <is>
          <t>Western University MA Economics — funding package</t>
        </is>
      </c>
      <c r="B64" s="75" t="inlineStr">
        <is>
          <t>Canadá (Western, Ontario)</t>
        </is>
      </c>
      <c r="C64" s="75" t="inlineStr">
        <is>
          <t>Beca de tuition + fees + TA-ship para vida</t>
        </is>
      </c>
      <c r="D64" s="75" t="inlineStr">
        <is>
          <t>TODOS (con la admisión)</t>
        </is>
      </c>
      <c r="E64" s="88" t="inlineStr">
        <is>
          <t>✅</t>
        </is>
      </c>
      <c r="F64" s="75" t="inlineStr">
        <is>
          <t>Con la aplicación (~ene-feb-2027) — sin aplicación separada</t>
        </is>
      </c>
      <c r="G64" s="75" t="inlineStr">
        <is>
          <t>AGREGADA 17-jul-2026: la MA canadiense "auto-financiada" más clara — paquetes de funding (tuition+fees + TA) decididos junto con la admisión, sin aplicación aparte. 1 año, PhD-prep razonable. Candidata a entrar en "Todos los programas" y Ranking como plan B de Norteamérica. Tuition intl ref: ~CAD 9.5k/term. Toronto/UBC: solo funding PARCIAL por mérito (Toronto sin base funding para MA) → no cumplen política full.</t>
        </is>
      </c>
      <c r="H64" s="75" t="inlineStr">
        <is>
          <t>https://economics.uwo.ca/graduate/fundingscholarships.html</t>
        </is>
      </c>
    </row>
    <row r="65">
      <c r="A65" s="84" t="inlineStr">
        <is>
          <t>— DEEP-DIVE GLASGOW &amp; EDINBURGH (verificado en webs oficiales jul-2026; fechas = ciclo 2026, confirmar 2027-28) —</t>
        </is>
      </c>
      <c r="B65" s="85" t="n"/>
      <c r="C65" s="85" t="n"/>
      <c r="D65" s="85" t="n"/>
      <c r="E65" s="85" t="n"/>
      <c r="F65" s="85" t="n"/>
      <c r="G65" s="85" t="n"/>
      <c r="H65" s="85" t="n"/>
    </row>
    <row r="66">
      <c r="A66" s="83" t="inlineStr">
        <is>
          <t>Glasgow — ASBS Global Impact Scholarship</t>
        </is>
      </c>
      <c r="B66" s="82" t="inlineStr">
        <is>
          <t>UK (Glasgow ASBS)</t>
        </is>
      </c>
      <c r="C66" s="82" t="inlineStr">
        <is>
          <t>FULL tuition + £15.000 estipendio (4 becas)</t>
        </is>
      </c>
      <c r="D66" s="82" t="inlineStr">
        <is>
          <t>TODOS (Intl+EU)</t>
        </is>
      </c>
      <c r="E66" s="86" t="inlineStr">
        <is>
          <t>✅</t>
        </is>
      </c>
      <c r="F66" s="82" t="inlineStr">
        <is>
          <t>R1 23-feb / R2 18-may</t>
        </is>
      </c>
      <c r="G66" s="82" t="inlineStr">
        <is>
          <t>⭐ LA JOYA: única fully funded de Glasgow. Todos los PGT 1 año de ASBS (Econ, Econ Dev, Econ IB&amp;F, Fin Econ). Requiere OFERTA previa + personal statement de impacto. NO combinable.</t>
        </is>
      </c>
      <c r="H66" s="82" t="inlineStr">
        <is>
          <t>https://www.gla.ac.uk/scholarships/asbsglobalimpactscholarship/</t>
        </is>
      </c>
    </row>
    <row r="67">
      <c r="A67" s="83" t="inlineStr">
        <is>
          <t>Glasgow — ASBS Economics Scholarship</t>
        </is>
      </c>
      <c r="B67" s="82" t="inlineStr">
        <is>
          <t>UK (Glasgow ASBS)</t>
        </is>
      </c>
      <c r="C67" s="82" t="inlineStr">
        <is>
          <t>£15.000 fee waiver (9 becas)</t>
        </is>
      </c>
      <c r="D67" s="82" t="inlineStr">
        <is>
          <t>TODOS</t>
        </is>
      </c>
      <c r="E67" s="86" t="inlineStr">
        <is>
          <t>✅</t>
        </is>
      </c>
      <c r="F67" s="82" t="inlineStr">
        <is>
          <t>R1 23-feb / R2 18-may</t>
        </is>
      </c>
      <c r="G67" s="82" t="inlineStr">
        <is>
          <t>Solo MSc Economics. Perfil data-driven — encaja con MESi/IIEP. NO combinable con otras UofG (queda la mayor).</t>
        </is>
      </c>
      <c r="H67" s="82" t="inlineStr">
        <is>
          <t>https://www.gla.ac.uk/scholarships/asbseconomicsscholarship/</t>
        </is>
      </c>
    </row>
    <row r="68">
      <c r="A68" s="83" t="inlineStr">
        <is>
          <t>Glasgow — ASBS Entrepreneurial Leaders Award</t>
        </is>
      </c>
      <c r="B68" s="82" t="inlineStr">
        <is>
          <t>UK (Glasgow ASBS)</t>
        </is>
      </c>
      <c r="C68" s="82" t="inlineStr">
        <is>
          <t>£15.000 fee waiver (9 becas)</t>
        </is>
      </c>
      <c r="D68" s="82" t="inlineStr">
        <is>
          <t>TODOS (excl. India/China)</t>
        </is>
      </c>
      <c r="E68" s="86" t="inlineStr">
        <is>
          <t>✅</t>
        </is>
      </c>
      <c r="F68" s="82" t="inlineStr">
        <is>
          <t>R1 23-feb / R2 18-may</t>
        </is>
      </c>
      <c r="G68" s="82" t="inlineStr">
        <is>
          <t>Todos los PGT 1 año ASBS — segunda chance si no sale la de Economics (elegir a cuáles aplicar; se pueden pedir varias).</t>
        </is>
      </c>
      <c r="H68" s="82" t="inlineStr">
        <is>
          <t>https://www.gla.ac.uk/scholarships/asbsentrepreneurialleadersaward/</t>
        </is>
      </c>
    </row>
    <row r="69">
      <c r="A69" s="83" t="inlineStr">
        <is>
          <t>Glasgow — World Changers PGT (EU)</t>
        </is>
      </c>
      <c r="B69" s="82" t="inlineStr">
        <is>
          <t>UK (Glasgow)</t>
        </is>
      </c>
      <c r="C69" s="82" t="inlineStr">
        <is>
          <t>£5.000 descuento AUTOMÁTICO</t>
        </is>
      </c>
      <c r="D69" s="82" t="inlineStr">
        <is>
          <t>ESP (fee status EU)</t>
        </is>
      </c>
      <c r="E69" s="86" t="inlineStr">
        <is>
          <t>✅</t>
        </is>
      </c>
      <c r="F69" s="82" t="inlineStr">
        <is>
          <t>Auto con la oferta</t>
        </is>
      </c>
      <c r="G69" s="82" t="inlineStr">
        <is>
          <t>Automática por nacionalidad EU (pasaporte ESP). Piso garantizado. NO combinable: si ganás una ASBS, queda la mayor.</t>
        </is>
      </c>
      <c r="H69" s="82" t="inlineStr">
        <is>
          <t>https://www.gla.ac.uk/study/eu/scholarships/</t>
        </is>
      </c>
    </row>
    <row r="70">
      <c r="A70" s="83" t="inlineStr">
        <is>
          <t>Edinburgh — Masters Fee Discount 25-50%</t>
        </is>
      </c>
      <c r="B70" s="82" t="inlineStr">
        <is>
          <t>UK (Edinburgh SGPE)</t>
        </is>
      </c>
      <c r="C70" s="82" t="inlineStr">
        <is>
          <t>25% o 50% del tuition (cupos limitados)</t>
        </is>
      </c>
      <c r="D70" s="82" t="inlineStr">
        <is>
          <t>TODOS</t>
        </is>
      </c>
      <c r="E70" s="86" t="inlineStr">
        <is>
          <t>✅</t>
        </is>
      </c>
      <c r="F70" s="82" t="inlineStr">
        <is>
          <t>Auto — sin aplicación</t>
        </is>
      </c>
      <c r="G70" s="82" t="inlineStr">
        <is>
          <t>TU VÍA REAL en Edinburgh: para 'very strong academic background', automática con la admisión. ⚠️ CORRECCIÓN: el 25% 'automático' que teníamos era el Partner Discount, SOLO para graduados de unis SGPE escocesas (no aplica con título UBA).</t>
        </is>
      </c>
      <c r="H70" s="82" t="inlineStr">
        <is>
          <t>https://economics.ed.ac.uk/study-with-us/postgraduate/scottish-graduate-programme-economics/fees-and-funding</t>
        </is>
      </c>
    </row>
    <row r="71">
      <c r="A71" s="83" t="inlineStr">
        <is>
          <t>Edinburgh — Global Latin-American Masters</t>
        </is>
      </c>
      <c r="B71" s="82" t="inlineStr">
        <is>
          <t>UK (Edinburgh)</t>
        </is>
      </c>
      <c r="C71" s="82" t="inlineStr">
        <is>
          <t>£5.000 descuento (12 becas)</t>
        </is>
      </c>
      <c r="D71" s="82" t="inlineStr">
        <is>
          <t>ARG</t>
        </is>
      </c>
      <c r="E71" s="86" t="inlineStr">
        <is>
          <t>✅</t>
        </is>
      </c>
      <c r="F71" s="82" t="inlineStr">
        <is>
          <t>~jun (ciclo 2026)</t>
        </is>
      </c>
      <c r="G71" s="82" t="inlineStr">
        <is>
          <t>Argentina en la lista de elegibles. Requiere lugar asegurado en un master full-time. Vía pasaporte argentino.</t>
        </is>
      </c>
      <c r="H71" s="82" t="inlineStr">
        <is>
          <t>https://registryservices.ed.ac.uk/student-funding/postgraduate/international/region/latin-america</t>
        </is>
      </c>
    </row>
    <row r="72">
      <c r="A72" s="83" t="inlineStr">
        <is>
          <t>Edinburgh — ESRC 1+3 (SGPE pathway)</t>
        </is>
      </c>
      <c r="B72" s="82" t="inlineStr">
        <is>
          <t>UK (Edinburgh SGPE)</t>
        </is>
      </c>
      <c r="C72" s="82" t="inlineStr">
        <is>
          <t>Fully funded MSc+PhD (fees + estipendio UKRI)</t>
        </is>
      </c>
      <c r="D72" s="82" t="inlineStr">
        <is>
          <t>TODOS (cupo intl ~30%)</t>
        </is>
      </c>
      <c r="E72" s="86" t="inlineStr">
        <is>
          <t>✅</t>
        </is>
      </c>
      <c r="F72" s="82" t="inlineStr">
        <is>
          <t>~ene-feb (vía SGSSS)</t>
        </is>
      </c>
      <c r="G72" s="82" t="inlineStr">
        <is>
          <t>Solo si vas directo a PhD tras el MSc ('1+3'). Hablar con el Pathway Representative ANTES de aplicar. Encaja con tu meta doctoral.</t>
        </is>
      </c>
      <c r="H72" s="82" t="inlineStr">
        <is>
          <t>https://www.sgsss.ac.uk/studentships/eligibility/</t>
        </is>
      </c>
    </row>
    <row r="73">
      <c r="A73" s="81" t="inlineStr">
        <is>
          <t>Edinburgh — Global Masters Scholarship</t>
        </is>
      </c>
      <c r="B73" s="75" t="inlineStr">
        <is>
          <t>UK (Edinburgh)</t>
        </is>
      </c>
      <c r="C73" s="75" t="inlineStr">
        <is>
          <t>Descuentos parciales</t>
        </is>
      </c>
      <c r="D73" s="75" t="inlineStr">
        <is>
          <t>ARG (non-EU)</t>
        </is>
      </c>
      <c r="E73" s="88" t="inlineStr">
        <is>
          <t>⚠️</t>
        </is>
      </c>
      <c r="F73" s="75" t="inlineStr">
        <is>
          <t>~jun</t>
        </is>
      </c>
      <c r="G73" s="75" t="inlineStr">
        <is>
          <t>Para nacionales de países fuera de la EU — como argentino calificás, pero verificar cómo tratan la doble nacionalidad ESP.</t>
        </is>
      </c>
      <c r="H73" s="75" t="inlineStr">
        <is>
          <t>https://registryservices.ed.ac.uk/student-funding/postgraduate/international</t>
        </is>
      </c>
    </row>
    <row r="74">
      <c r="A74" s="78" t="inlineStr">
        <is>
          <t>Edinburgh — SGPE Widening Participation</t>
        </is>
      </c>
      <c r="B74" s="76" t="inlineStr">
        <is>
          <t>UK (Edinburgh SGPE)</t>
        </is>
      </c>
      <c r="C74" s="76" t="inlineStr">
        <is>
          <t>Full fees + estipendio (1 beca)</t>
        </is>
      </c>
      <c r="D74" s="76" t="inlineStr">
        <is>
          <t>solo home/Escocia</t>
        </is>
      </c>
      <c r="E74" s="87" t="inlineStr">
        <is>
          <t>❌</t>
        </is>
      </c>
      <c r="F74" s="76" t="inlineStr">
        <is>
          <t>—</t>
        </is>
      </c>
      <c r="G74" s="76" t="inlineStr">
        <is>
          <t>Solo estudiantes con fee status home residentes en Escocia.</t>
        </is>
      </c>
      <c r="H74" s="76" t="inlineStr">
        <is>
          <t>https://www.ed.ac.uk/student-funding/postgraduate/uk-eu/humanities/economics/sgpewidening</t>
        </is>
      </c>
    </row>
    <row r="75">
      <c r="A75" s="81" t="inlineStr">
        <is>
          <t>Edinburgh — Business School LATAM Regional</t>
        </is>
      </c>
      <c r="B75" s="75" t="inlineStr">
        <is>
          <t>UK (Edinburgh UEBS)</t>
        </is>
      </c>
      <c r="C75" s="75" t="inlineStr">
        <is>
          <t>Parcial, mérito</t>
        </is>
      </c>
      <c r="D75" s="75" t="inlineStr">
        <is>
          <t>ARG</t>
        </is>
      </c>
      <c r="E75" s="88" t="inlineStr">
        <is>
          <t>⚠️</t>
        </is>
      </c>
      <c r="F75" s="75" t="inlineStr">
        <is>
          <t>con oferta 2026</t>
        </is>
      </c>
      <c r="G75" s="75" t="inlineStr">
        <is>
          <t>Solo programas de la BUSINESS School (no aplica al MSc Economics del SGPE, que es School of Economics). Relevante solo si aplicaras a Finance/similar en UEBS.</t>
        </is>
      </c>
      <c r="H75" s="75" t="inlineStr">
        <is>
          <t>https://www.business-school.ed.ac.uk/scholarships/latin-american</t>
        </is>
      </c>
    </row>
    <row r="76">
      <c r="A76" s="83" t="inlineStr">
        <is>
          <t>Birmingham BBS Masters Scholarship</t>
        </is>
      </c>
      <c r="B76" s="82" t="inlineStr">
        <is>
          <t>UK (Birmingham)</t>
        </is>
      </c>
      <c r="C76" s="82" t="inlineStr">
        <is>
          <t>Hasta £25.000 (3 tramos Dean's Awards)</t>
        </is>
      </c>
      <c r="D76" s="82" t="inlineStr">
        <is>
          <t>TODOS (excl. China/India)</t>
        </is>
      </c>
      <c r="E76" s="82" t="inlineStr">
        <is>
          <t>✅</t>
        </is>
      </c>
      <c r="F76" s="82" t="inlineStr">
        <is>
          <t>~31-may (rolling)</t>
        </is>
      </c>
      <c r="G76" s="82" t="inlineStr">
        <is>
          <t>REVISADO jul-2026: Economics MSc elegible; ensayo de responsible business. Tope £25k, caso típico menor. David Guard MABECS NO aplica (solo Malasia).</t>
        </is>
      </c>
      <c r="H76" s="82" t="inlineStr">
        <is>
          <t>https://www.birmingham.ac.uk/study/scholarships-funding/birmingham-business-school-masters-scholarship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46" min="1" max="1"/>
    <col width="95" customWidth="1" style="46" min="2" max="2"/>
    <col width="16" customWidth="1" style="46" min="3" max="3"/>
    <col width="12" customWidth="1" style="46" min="4" max="4"/>
  </cols>
  <sheetData>
    <row r="1" ht="15" customHeight="1" s="47">
      <c r="A1" s="51" t="inlineStr">
        <is>
          <t>TIMELINE CICLO 2027-28 — fechas de referencia del ciclo anterior; confirmar cada una en la web al abrir la convocatoria</t>
        </is>
      </c>
    </row>
    <row r="2" ht="15" customHeight="1" s="47">
      <c r="A2" s="57" t="inlineStr">
        <is>
          <t>Fecha aprox.</t>
        </is>
      </c>
      <c r="B2" s="57" t="inlineStr">
        <is>
          <t>Acción</t>
        </is>
      </c>
      <c r="C2" s="57" t="inlineStr">
        <is>
          <t>Tipo</t>
        </is>
      </c>
      <c r="D2" s="57" t="inlineStr">
        <is>
          <t>Prioridad</t>
        </is>
      </c>
    </row>
    <row r="3" ht="23.25" customHeight="1" s="47">
      <c r="A3" s="78" t="inlineStr">
        <is>
          <t>jul-ago 2026</t>
        </is>
      </c>
      <c r="B3" s="76" t="inlineStr">
        <is>
          <t>Preparar GRE → objetivo Q ≥165 / V ≥158 / AWA ≥4.0 (cubre LSE, CEMFI, Tinbergen, Oxford, SSE, Bocconi y todas las recomendaciones)</t>
        </is>
      </c>
      <c r="C3" s="76" t="inlineStr">
        <is>
          <t>Test</t>
        </is>
      </c>
      <c r="D3" s="76" t="inlineStr">
        <is>
          <t>🔴 Alta</t>
        </is>
      </c>
    </row>
    <row r="4" ht="15" customHeight="1" s="47">
      <c r="A4" s="78" t="inlineStr">
        <is>
          <t>31-jul-2026</t>
        </is>
      </c>
      <c r="B4" s="76" t="inlineStr">
        <is>
          <t>DAAD Helmut Schmidt (PPGG): cierra convocatoria intake 2027 — solo si interesa track policy/governance (NO cubre MSc Economics)</t>
        </is>
      </c>
      <c r="C4" s="76" t="inlineStr">
        <is>
          <t>Beca</t>
        </is>
      </c>
      <c r="D4" s="76" t="inlineStr">
        <is>
          <t>🟡 Media</t>
        </is>
      </c>
    </row>
    <row r="5" ht="15" customHeight="1" s="47">
      <c r="A5" s="78" t="inlineStr">
        <is>
          <t>19-ago-2026</t>
        </is>
      </c>
      <c r="B5" s="76" t="inlineStr">
        <is>
          <t>🎯 McCall MacBain (McGill): deadline internacional — beca FULL (tuition + CAD 2.300/mes); ensayos + referencias; luego aplicar al MA Economics antes del 15-ene-2027</t>
        </is>
      </c>
      <c r="C5" s="76" t="inlineStr">
        <is>
          <t>Beca</t>
        </is>
      </c>
      <c r="D5" s="76" t="inlineStr">
        <is>
          <t>🔴 Alta</t>
        </is>
      </c>
    </row>
    <row r="6" ht="15" customHeight="1" s="47">
      <c r="A6" s="68" t="inlineStr">
        <is>
          <t>~ago 2026</t>
        </is>
      </c>
      <c r="B6" s="67" t="inlineStr">
        <is>
          <t>DAAD EPOS — aplicación (development-related, Track 2)</t>
        </is>
      </c>
      <c r="C6" s="67" t="inlineStr">
        <is>
          <t>Beca</t>
        </is>
      </c>
      <c r="D6" s="67" t="inlineStr">
        <is>
          <t>🟡 Media</t>
        </is>
      </c>
    </row>
    <row r="7" ht="15" customHeight="1" s="47">
      <c r="A7" s="78" t="inlineStr">
        <is>
          <t>sep-oct 2026</t>
        </is>
      </c>
      <c r="B7" s="76" t="inlineStr">
        <is>
          <t>Inicio proceso formal con Inova Education (máx. 5 aplicaciones UK)</t>
        </is>
      </c>
      <c r="C7" s="76" t="inlineStr">
        <is>
          <t>Proceso</t>
        </is>
      </c>
      <c r="D7" s="76" t="inlineStr">
        <is>
          <t>🔴 Alta</t>
        </is>
      </c>
    </row>
    <row r="8" ht="15" customHeight="1" s="47">
      <c r="A8" s="78" t="inlineStr">
        <is>
          <t>07/10/2026</t>
        </is>
      </c>
      <c r="B8" s="76" t="inlineStr">
        <is>
          <t>🎯 ABRE Chevening 2027-28 — prioridad máxima; 3 cursos; ensayos + referente LSE</t>
        </is>
      </c>
      <c r="C8" s="76" t="inlineStr">
        <is>
          <t>Beca</t>
        </is>
      </c>
      <c r="D8" s="76" t="inlineStr">
        <is>
          <t>🔴 Alta</t>
        </is>
      </c>
    </row>
    <row r="9" ht="15" customHeight="1" s="47">
      <c r="A9" s="78" t="inlineStr">
        <is>
          <t>oct-ene</t>
        </is>
      </c>
      <c r="B9" s="76" t="inlineStr">
        <is>
          <t>Erasmus Mundus QEM / EPOG+ — ronda con beca</t>
        </is>
      </c>
      <c r="C9" s="76" t="inlineStr">
        <is>
          <t>Beca+Programa</t>
        </is>
      </c>
      <c r="D9" s="76" t="inlineStr">
        <is>
          <t>🔴 Alta</t>
        </is>
      </c>
    </row>
    <row r="10" ht="15" customHeight="1" s="47">
      <c r="A10" s="68" t="inlineStr">
        <is>
          <t>~dic 2026</t>
        </is>
      </c>
      <c r="B10" s="67" t="inlineStr">
        <is>
          <t>Tinbergen / ETH deadlines tempranos (si se apunta a research masters)</t>
        </is>
      </c>
      <c r="C10" s="67" t="inlineStr">
        <is>
          <t>Programa</t>
        </is>
      </c>
      <c r="D10" s="67" t="inlineStr">
        <is>
          <t>🟡 Media</t>
        </is>
      </c>
    </row>
    <row r="11" ht="15" customHeight="1" s="47">
      <c r="A11" s="78" t="inlineStr">
        <is>
          <t>~ene 2027</t>
        </is>
      </c>
      <c r="B11" s="76" t="inlineStr">
        <is>
          <t>IELTS Academic rendido (recomendado antes de ene-2027)</t>
        </is>
      </c>
      <c r="C11" s="76" t="inlineStr">
        <is>
          <t>Test</t>
        </is>
      </c>
      <c r="D11" s="76" t="inlineStr">
        <is>
          <t>🔴 Alta</t>
        </is>
      </c>
    </row>
    <row r="12" ht="15" customHeight="1" s="47">
      <c r="A12" s="78" t="inlineStr">
        <is>
          <t>15-ene-2027</t>
        </is>
      </c>
      <c r="B12" s="76" t="inlineStr">
        <is>
          <t>McGill MA Economics: deadline aplicación internacional (GRE requerido)</t>
        </is>
      </c>
      <c r="C12" s="76" t="inlineStr">
        <is>
          <t>Programa</t>
        </is>
      </c>
      <c r="D12" s="76" t="inlineStr">
        <is>
          <t>🔴 Alta</t>
        </is>
      </c>
    </row>
    <row r="13" ht="15" customHeight="1" s="47">
      <c r="A13" s="68" t="inlineStr">
        <is>
          <t>~19 ene 2027</t>
        </is>
      </c>
      <c r="B13" s="67" t="inlineStr">
        <is>
          <t>la Caixa posgrado (⚠️ verificar elegibilidad título UBA antes de invertir tiempo)</t>
        </is>
      </c>
      <c r="C13" s="67" t="inlineStr">
        <is>
          <t>Beca</t>
        </is>
      </c>
      <c r="D13" s="67" t="inlineStr">
        <is>
          <t>🟡 Media</t>
        </is>
      </c>
    </row>
    <row r="14" ht="15" customHeight="1" s="47">
      <c r="A14" s="68" t="inlineStr">
        <is>
          <t>ene-mar 2027</t>
        </is>
      </c>
      <c r="B14" s="67" t="inlineStr">
        <is>
          <t>Fundación Carolina (para CEMFI/BSE) — ⚠️ verificar doble nacionalidad</t>
        </is>
      </c>
      <c r="C14" s="67" t="inlineStr">
        <is>
          <t>Beca</t>
        </is>
      </c>
      <c r="D14" s="67" t="inlineStr">
        <is>
          <t>🟡 Media</t>
        </is>
      </c>
    </row>
    <row r="15" ht="15" customHeight="1" s="47">
      <c r="A15" s="78" t="inlineStr">
        <is>
          <t>31/01/2027</t>
        </is>
      </c>
      <c r="B15" s="76" t="inlineStr">
        <is>
          <t>CEMFI — deadline funding (Carolina/BBVA) · BSE rondas con beca</t>
        </is>
      </c>
      <c r="C15" s="76" t="inlineStr">
        <is>
          <t>Beca+Programa</t>
        </is>
      </c>
      <c r="D15" s="76" t="inlineStr">
        <is>
          <t>🔴 Alta</t>
        </is>
      </c>
    </row>
    <row r="16" ht="15" customHeight="1" s="47">
      <c r="A16" s="78" t="inlineStr">
        <is>
          <t>ene-feb 2027</t>
        </is>
      </c>
      <c r="B16" s="76" t="inlineStr">
        <is>
          <t>World Bank JJ/WBGSP · CEU Viena financiación (~4 feb, mencionar Hantos) · SSE (~15 ene) · nórdicos (~15 ene)</t>
        </is>
      </c>
      <c r="C16" s="76" t="inlineStr">
        <is>
          <t>Beca+Programa</t>
        </is>
      </c>
      <c r="D16" s="76" t="inlineStr">
        <is>
          <t>🔴 Alta</t>
        </is>
      </c>
    </row>
    <row r="17" ht="15" customHeight="1" s="47">
      <c r="A17" s="78" t="inlineStr">
        <is>
          <t>~feb 2027</t>
        </is>
      </c>
      <c r="B17" s="76" t="inlineStr">
        <is>
          <t>Fundación Ramón Areces (economía) — 🥇 fit perfecto vía ESP</t>
        </is>
      </c>
      <c r="C17" s="76" t="inlineStr">
        <is>
          <t>Beca</t>
        </is>
      </c>
      <c r="D17" s="76" t="inlineStr">
        <is>
          <t>🔴 Alta</t>
        </is>
      </c>
    </row>
    <row r="18" ht="15" customHeight="1" s="47">
      <c r="A18" s="68" t="inlineStr">
        <is>
          <t>~23 feb 2027</t>
        </is>
      </c>
      <c r="B18" s="67" t="inlineStr">
        <is>
          <t>Fundación Rafael del Pino</t>
        </is>
      </c>
      <c r="C18" s="67" t="inlineStr">
        <is>
          <t>Beca</t>
        </is>
      </c>
      <c r="D18" s="67" t="inlineStr">
        <is>
          <t>🟡 Media</t>
        </is>
      </c>
    </row>
    <row r="19" ht="15" customHeight="1" s="47">
      <c r="A19" s="78" t="inlineStr">
        <is>
          <t>feb-abr 2027</t>
        </is>
      </c>
      <c r="B19" s="76" t="inlineStr">
        <is>
          <t>Aplicaciones rolling UK (LSE, Oxford ene, resto) y continente (Alemania ~may, Francia ene-abr)</t>
        </is>
      </c>
      <c r="C19" s="76" t="inlineStr">
        <is>
          <t>Programa</t>
        </is>
      </c>
      <c r="D19" s="76" t="inlineStr">
        <is>
          <t>🔴 Alta</t>
        </is>
      </c>
    </row>
    <row r="20" ht="15" customHeight="1" s="47">
      <c r="A20" s="78" t="inlineStr">
        <is>
          <t>~abr 2027</t>
        </is>
      </c>
      <c r="B20" s="76" t="inlineStr">
        <is>
          <t>Becas UK: Southampton Presidential (~22/4) · Bristol Think Big (~10/4)</t>
        </is>
      </c>
      <c r="C20" s="76" t="inlineStr">
        <is>
          <t>Beca</t>
        </is>
      </c>
      <c r="D20" s="76" t="inlineStr">
        <is>
          <t>🔴 Alta</t>
        </is>
      </c>
    </row>
    <row r="21" ht="15" customHeight="1" s="47">
      <c r="A21" s="78" t="inlineStr">
        <is>
          <t>~may 2027</t>
        </is>
      </c>
      <c r="B21" s="76" t="inlineStr">
        <is>
          <t>Warwick: aceptar oferta para beca Sudamérica (~18/5) · Groningen deadline EU (~1/5)</t>
        </is>
      </c>
      <c r="C21" s="76" t="inlineStr">
        <is>
          <t>Beca+Programa</t>
        </is>
      </c>
      <c r="D21" s="76" t="inlineStr">
        <is>
          <t>🔴 Alta</t>
        </is>
      </c>
    </row>
    <row r="22" ht="15" customHeight="1" s="47">
      <c r="A22" s="68" t="inlineStr">
        <is>
          <t>sep 2027</t>
        </is>
      </c>
      <c r="B22" s="67" t="inlineStr">
        <is>
          <t>🎓 Inicio de clases</t>
        </is>
      </c>
      <c r="C22" s="67" t="inlineStr">
        <is>
          <t>—</t>
        </is>
      </c>
      <c r="D22" s="67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46" min="1" max="1"/>
    <col width="130" customWidth="1" style="46" min="2" max="2"/>
  </cols>
  <sheetData>
    <row r="1" ht="15" customHeight="1" s="47">
      <c r="A1" s="84" t="inlineStr">
        <is>
          <t>PERFIL DEL CANDIDATO</t>
        </is>
      </c>
      <c r="B1" s="85" t="n"/>
    </row>
    <row r="2" ht="15" customHeight="1" s="47">
      <c r="A2" s="53" t="inlineStr">
        <is>
          <t>Nombre</t>
        </is>
      </c>
      <c r="B2" s="89" t="inlineStr">
        <is>
          <t>Manuel Fernández San Martín</t>
        </is>
      </c>
    </row>
    <row r="3" ht="15" customHeight="1" s="47">
      <c r="A3" s="53" t="inlineStr">
        <is>
          <t>Ciudadanías</t>
        </is>
      </c>
      <c r="B3" s="89" t="inlineStr">
        <is>
          <t>🇦🇷 Argentina + 🇪🇸 España — doble puerta de becas: [ARG] Chevening, DAAD, Carolina, WBGSP · [ESP] Areces, del Pino, tarifa EU</t>
        </is>
      </c>
    </row>
    <row r="4" ht="15" customHeight="1" s="47">
      <c r="A4" s="53" t="inlineStr">
        <is>
          <t>Formación</t>
        </is>
      </c>
      <c r="B4" s="89" t="inlineStr">
        <is>
          <t>Lic. en Economía, FCE-UBA, cum laude. Promedio 7.82/10 (≈ 2:1 alto / First Class UK)</t>
        </is>
      </c>
    </row>
    <row r="5" ht="15" customHeight="1" s="47">
      <c r="A5" s="53" t="inlineStr">
        <is>
          <t>Experiencia</t>
        </is>
      </c>
      <c r="B5" s="89" t="inlineStr">
        <is>
          <t>Ssr. Economic Research Analyst en Bunge + Research Fellow IIEP (UBA-CONICET) + docente FCE-UBA · &gt;2 años (habilita Chevening/DAAD/WBGSP)</t>
        </is>
      </c>
    </row>
    <row r="6" ht="15" customHeight="1" s="47">
      <c r="A6" s="53" t="inlineStr">
        <is>
          <t>Proyecto</t>
        </is>
      </c>
      <c r="B6" s="89" t="inlineStr">
        <is>
          <t>MESi — Modelo de Equilibrio Sistémico Integrado</t>
        </is>
      </c>
    </row>
    <row r="7" ht="15" customHeight="1" s="47">
      <c r="A7" s="53" t="inlineStr">
        <is>
          <t>Skills</t>
        </is>
      </c>
      <c r="B7" s="89" t="inlineStr">
        <is>
          <t>Python, econometría aplicada, series de tiempo, inferencia causal, RAS/IO, datos satelitales (NDVI/MODIS), Stata</t>
        </is>
      </c>
    </row>
    <row r="8" ht="15" customHeight="1" s="47">
      <c r="A8" s="53" t="inlineStr">
        <is>
          <t>Inglés</t>
        </is>
      </c>
      <c r="B8" s="89" t="inlineStr">
        <is>
          <t>Cambridge C1 certificado · IELTS Academic pendiente (rendir antes de ene-2027)</t>
        </is>
      </c>
    </row>
    <row r="9" ht="15" customHeight="1" s="47">
      <c r="A9" s="53" t="inlineStr">
        <is>
          <t>GRE</t>
        </is>
      </c>
      <c r="B9" s="89" t="inlineStr">
        <is>
          <t>Pendiente — objetivo Q ≥165 / V ≥158 / AWA ≥4.0 (ver hoja 'Filtro GRE-GMAT')</t>
        </is>
      </c>
    </row>
    <row r="10" ht="15" customHeight="1" s="47">
      <c r="A10" s="53" t="inlineStr">
        <is>
          <t>Objetivo</t>
        </is>
      </c>
      <c r="B10" s="89" t="inlineStr">
        <is>
          <t>Inicio sept 2027 (ciclo 2027-28) · meta post-máster: doctorado → valora research masters de 2 años</t>
        </is>
      </c>
    </row>
    <row r="11" ht="15" customHeight="1" s="47">
      <c r="A11" s="53" t="inlineStr">
        <is>
          <t>Referente</t>
        </is>
      </c>
      <c r="B11" s="89" t="inlineStr">
        <is>
          <t>Ex-Chevening que estudió en LSE (responde con correo institucional)</t>
        </is>
      </c>
    </row>
    <row r="13" ht="15" customHeight="1" s="47">
      <c r="A13" s="84" t="inlineStr">
        <is>
          <t>TRACKS DE INTERÉS</t>
        </is>
      </c>
      <c r="B13" s="85" t="n"/>
    </row>
    <row r="14" ht="15" customHeight="1" s="47">
      <c r="A14" s="53" t="inlineStr">
        <is>
          <t>Track 1</t>
        </is>
      </c>
      <c r="B14" s="89" t="inlineStr">
        <is>
          <t>Economía &amp; Finanzas / Política Monetaria — quant fuerte, finance, macro, monetary policy</t>
        </is>
      </c>
    </row>
    <row r="15" ht="15" customHeight="1" s="47">
      <c r="A15" s="53" t="inlineStr">
        <is>
          <t>Track 2</t>
        </is>
      </c>
      <c r="B15" s="89" t="inlineStr">
        <is>
          <t>Desarrollo Económico / Inferencia Causal — development, evaluación de impacto, microeconometría</t>
        </is>
      </c>
    </row>
    <row r="17" ht="15" customHeight="1" s="47">
      <c r="A17" s="84" t="inlineStr">
        <is>
          <t>ESTRATEGIA GEOGRÁFICA (factor pasaporte)</t>
        </is>
      </c>
      <c r="B17" s="85" t="n"/>
    </row>
    <row r="18" ht="15" customHeight="1" s="47">
      <c r="A18" s="53" t="inlineStr">
        <is>
          <t>UK</t>
        </is>
      </c>
      <c r="B18" s="89" t="inlineStr">
        <is>
          <t>Prestigio + 1 año, pero £35-55k/año sin beca → depende de full-funding (Chevening etc.). Vía Inova: máx. 5 aplicaciones</t>
        </is>
      </c>
    </row>
    <row r="19" ht="15" customHeight="1" s="47">
      <c r="A19" s="53" t="inlineStr">
        <is>
          <t>Países Bajos</t>
        </is>
      </c>
      <c r="B19" s="89" t="inlineStr">
        <is>
          <t>Tarifa EU €2.694/año por pasaporte ESP. Becas NL bloqueadas (solo non-EU) pero no importan. Total ~€13-16k/año</t>
        </is>
      </c>
    </row>
    <row r="20" ht="15" customHeight="1" s="47">
      <c r="A20" s="53" t="inlineStr">
        <is>
          <t>Europa continental</t>
        </is>
      </c>
      <c r="B20" s="89" t="inlineStr">
        <is>
          <t>Matrícula gratis (Alemania, nórdicos) o casi (Francia €359, Bélgica ~€1.200, Austria €726). Total €11-16k/año SIN beca</t>
        </is>
      </c>
    </row>
    <row r="21" ht="15" customHeight="1" s="47">
      <c r="A21" s="53" t="inlineStr">
        <is>
          <t>Prioridad</t>
        </is>
      </c>
      <c r="B21" s="89" t="inlineStr">
        <is>
          <t>Coste-cero (Alemania/nórdicos) ó fully-funded (Erasmus Mundus, CEU) ó prestigio con beca (UK + Chevening)</t>
        </is>
      </c>
    </row>
    <row r="23" ht="15" customHeight="1" s="47">
      <c r="A23" s="84" t="inlineStr">
        <is>
          <t>RELACIÓN INOVA EDUCATION</t>
        </is>
      </c>
      <c r="B23" s="85" t="n"/>
    </row>
    <row r="24" ht="23.25" customHeight="1" s="47">
      <c r="A24" s="53" t="inlineStr">
        <is>
          <t>Partners UK</t>
        </is>
      </c>
      <c r="B24" s="89" t="inlineStr">
        <is>
          <t>Warwick, Bristol, Sussex, Edinburgh, Manchester, York, Glasgow, Bath, Birmingham, Essex, Durham, Leeds, Newcastle, Southampton, Sheffield, Exeter, UEA, Cardiff, Royal Holloway, Strathclyde, Heriot-Watt, Liverpool, Aberdeen, Stirling</t>
        </is>
      </c>
    </row>
    <row r="25" ht="15" customHeight="1" s="47">
      <c r="A25" s="53" t="inlineStr">
        <is>
          <t>Partners NL</t>
        </is>
      </c>
      <c r="B25" s="89" t="inlineStr">
        <is>
          <t>Groningen, Radboud (Twente y The Hague sin MSc Econ académico)</t>
        </is>
      </c>
    </row>
    <row r="26" ht="15" customHeight="1" s="47">
      <c r="A26" s="53" t="inlineStr">
        <is>
          <t>No-Inova (directa)</t>
        </is>
      </c>
      <c r="B26" s="89" t="inlineStr">
        <is>
          <t>LSE, Oxford, Cambridge, UCL, CEMFI, BSE, Carlos III, Maastricht, Tilburg, Tinbergen + todo el continente</t>
        </is>
      </c>
    </row>
    <row r="27" ht="15" customHeight="1" s="47">
      <c r="A27" s="53" t="inlineStr">
        <is>
          <t>Regla</t>
        </is>
      </c>
      <c r="B27" s="89" t="inlineStr">
        <is>
          <t>Máx. 5 aplicaciones UK vía Inova (las unis comparten info) · inicio proceso: sep-oct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6" min="1" max="1"/>
    <col width="95" customWidth="1" style="46" min="2" max="2"/>
    <col width="14" customWidth="1" style="46" min="3" max="3"/>
    <col width="12" customWidth="1" style="46" min="4" max="4"/>
  </cols>
  <sheetData>
    <row r="1" ht="15" customHeight="1" s="47">
      <c r="A1" s="51" t="inlineStr">
        <is>
          <t>PENDIENTES / PRÓXIMOS PASOS (actualizado jul-2026)</t>
        </is>
      </c>
    </row>
    <row r="2" ht="15" customHeight="1" s="47">
      <c r="A2" s="57" t="inlineStr">
        <is>
          <t>#</t>
        </is>
      </c>
      <c r="B2" s="57" t="inlineStr">
        <is>
          <t>Pendiente</t>
        </is>
      </c>
      <c r="C2" s="57" t="inlineStr">
        <is>
          <t>Tipo</t>
        </is>
      </c>
      <c r="D2" s="57" t="inlineStr">
        <is>
          <t>Estado</t>
        </is>
      </c>
    </row>
    <row r="3" ht="15" customHeight="1" s="47">
      <c r="A3" s="67" t="n">
        <v>1</v>
      </c>
      <c r="B3" s="67" t="inlineStr">
        <is>
          <t>Verificar la Caixa: ¿título UBA descalifica? ¿excepción por doble nacionalidad? → RESUELTO 17-jul-2026: ❌ NO elegible (exige grado de universidad española)</t>
        </is>
      </c>
      <c r="C3" s="67" t="inlineStr">
        <is>
          <t>Elegibilidad</t>
        </is>
      </c>
      <c r="D3" s="67" t="inlineStr">
        <is>
          <t>✔ HECHO</t>
        </is>
      </c>
    </row>
    <row r="4" ht="15" customHeight="1" s="47">
      <c r="A4" s="67" t="n">
        <v>2</v>
      </c>
      <c r="B4" s="67" t="inlineStr">
        <is>
          <t>Verificar Fundación Carolina: doble nacionalidad ARG+ESP (puede exigir vínculo único LATAM) → RESUELTO 17-jul-2026: ✅ elegible bajo nacionalidad ARG (FAQ oficial); no residir en España</t>
        </is>
      </c>
      <c r="C4" s="67" t="inlineStr">
        <is>
          <t>Elegibilidad</t>
        </is>
      </c>
      <c r="D4" s="67" t="inlineStr">
        <is>
          <t>✔ HECHO</t>
        </is>
      </c>
    </row>
    <row r="5" ht="15" customHeight="1" s="47">
      <c r="A5" s="67" t="n">
        <v>3</v>
      </c>
      <c r="B5" s="67" t="inlineStr">
        <is>
          <t>Verificar Eiffel: edad &lt; 29 (nacido después del 31/03/1996)</t>
        </is>
      </c>
      <c r="C5" s="67" t="inlineStr">
        <is>
          <t>Elegibilidad</t>
        </is>
      </c>
      <c r="D5" s="67" t="inlineStr">
        <is>
          <t>Abierto</t>
        </is>
      </c>
    </row>
    <row r="6" ht="15" customHeight="1" s="47">
      <c r="A6" s="67" t="n">
        <v>4</v>
      </c>
      <c r="B6" s="67" t="inlineStr">
        <is>
          <t>Confirmar lista de programas europeos elegibles JJ/WBGSP</t>
        </is>
      </c>
      <c r="C6" s="67" t="inlineStr">
        <is>
          <t>Elegibilidad</t>
        </is>
      </c>
      <c r="D6" s="67" t="inlineStr">
        <is>
          <t>Abierto</t>
        </is>
      </c>
    </row>
    <row r="7" ht="15" customHeight="1" s="47">
      <c r="A7" s="67" t="n">
        <v>5</v>
      </c>
      <c r="B7" s="67" t="inlineStr">
        <is>
          <t>Verificar GRE Carlos III (probablemente no exige)</t>
        </is>
      </c>
      <c r="C7" s="67" t="inlineStr">
        <is>
          <t>Requisitos</t>
        </is>
      </c>
      <c r="D7" s="67" t="inlineStr">
        <is>
          <t>Abierto</t>
        </is>
      </c>
    </row>
    <row r="8" ht="23.25" customHeight="1" s="47">
      <c r="A8" s="67" t="n">
        <v>6</v>
      </c>
      <c r="B8" s="67" t="inlineStr">
        <is>
          <t>Investigar becas: Italia (IYT), Austria (OeAD), Bélgica (ARES/VLIR-UOS), nórdicas (SI), fundaciones políticas alemanas, Rotary, Aga Khan, BEC.AR → ✔ COMPLETO 17-jul-2026: IYT ⚠️ (edad ≤25) · Stipendium Hungaricum 🔍 · Ernst Mach/SI/BEC.AR/ARES/VLIR-UOS/Aga Khan ❌ · fundaciones alemanas ⚠️ (solo con alemán B2) · Rotary Global Grant ⚠️ viable (US$30,6k, vía club Rotary local)</t>
        </is>
      </c>
      <c r="C8" s="67" t="inlineStr">
        <is>
          <t>Becas</t>
        </is>
      </c>
      <c r="D8" s="67" t="inlineStr">
        <is>
          <t>✔ HECHO</t>
        </is>
      </c>
    </row>
    <row r="9" ht="15" customHeight="1" s="47">
      <c r="A9" s="67" t="n">
        <v>7</v>
      </c>
      <c r="B9" s="67" t="inlineStr">
        <is>
          <t>Preparar GRE — objetivo Q≥165/V≥158/AWA≥4.0</t>
        </is>
      </c>
      <c r="C9" s="67" t="inlineStr">
        <is>
          <t>Test</t>
        </is>
      </c>
      <c r="D9" s="67" t="inlineStr">
        <is>
          <t>Abierto</t>
        </is>
      </c>
    </row>
    <row r="10" ht="15" customHeight="1" s="47">
      <c r="A10" s="67" t="n">
        <v>8</v>
      </c>
      <c r="B10" s="67" t="inlineStr">
        <is>
          <t>Rendir IELTS Academic antes de ene-2027</t>
        </is>
      </c>
      <c r="C10" s="67" t="inlineStr">
        <is>
          <t>Test</t>
        </is>
      </c>
      <c r="D10" s="67" t="inlineStr">
        <is>
          <t>Abierto</t>
        </is>
      </c>
    </row>
    <row r="11" ht="15" customHeight="1" s="47">
      <c r="A11" s="67" t="n">
        <v>9</v>
      </c>
      <c r="B11" s="67" t="inlineStr">
        <is>
          <t>Statement of Purpose diferenciado por track (T1 monetario / T2 desarrollo-causal)</t>
        </is>
      </c>
      <c r="C11" s="67" t="inlineStr">
        <is>
          <t>Aplicación</t>
        </is>
      </c>
      <c r="D11" s="67" t="inlineStr">
        <is>
          <t>Abierto</t>
        </is>
      </c>
    </row>
    <row r="12" ht="15" customHeight="1" s="47">
      <c r="A12" s="67" t="n">
        <v>10</v>
      </c>
      <c r="B12" s="67" t="inlineStr">
        <is>
          <t>Definir shortlist final: 5 UK (Inova) + continente, rankeada por fit × coste × probabilidad</t>
        </is>
      </c>
      <c r="C12" s="67" t="inlineStr">
        <is>
          <t>Estrategia</t>
        </is>
      </c>
      <c r="D12" s="67" t="inlineStr">
        <is>
          <t>Abierto</t>
        </is>
      </c>
    </row>
    <row r="13" ht="15" customHeight="1" s="47">
      <c r="A13" s="67" t="n">
        <v>11</v>
      </c>
      <c r="B13" s="67" t="inlineStr">
        <is>
          <t>Reunión formal con Inova (sep-oct 2026)</t>
        </is>
      </c>
      <c r="C13" s="67" t="inlineStr">
        <is>
          <t>Proceso</t>
        </is>
      </c>
      <c r="D13" s="67" t="inlineStr">
        <is>
          <t>Abierto</t>
        </is>
      </c>
    </row>
    <row r="14" ht="15" customHeight="1" s="47">
      <c r="A14" s="67" t="n">
        <v>12</v>
      </c>
      <c r="B14" s="67" t="inlineStr">
        <is>
          <t>Confirmar deadlines exactos 2027-28 en cada web al abrir convocatorias</t>
        </is>
      </c>
      <c r="C14" s="67" t="inlineStr">
        <is>
          <t>Proceso</t>
        </is>
      </c>
      <c r="D14" s="67" t="inlineStr">
        <is>
          <t>Abierto</t>
        </is>
      </c>
    </row>
    <row r="15" ht="15" customHeight="1" s="47">
      <c r="A15" s="82" t="n">
        <v>13</v>
      </c>
      <c r="B15" s="82" t="inlineStr">
        <is>
          <t>Requisitos GRE verificados en webs oficiales (jul-2026) → hoja 'Filtro GRE-GMAT'</t>
        </is>
      </c>
      <c r="C15" s="82" t="inlineStr">
        <is>
          <t>Requisitos</t>
        </is>
      </c>
      <c r="D15" s="82" t="inlineStr">
        <is>
          <t>✔ HECHO</t>
        </is>
      </c>
    </row>
    <row r="16" ht="15" customHeight="1" s="47">
      <c r="A16" s="82" t="n">
        <v>14</v>
      </c>
      <c r="B16" s="82" t="inlineStr">
        <is>
          <t>Hoja de becas consolidada en 3 categorías A/B/C</t>
        </is>
      </c>
      <c r="C16" s="82" t="inlineStr">
        <is>
          <t>Becas</t>
        </is>
      </c>
      <c r="D16" s="82" t="inlineStr">
        <is>
          <t>✔ HECHO</t>
        </is>
      </c>
    </row>
    <row r="17" ht="15" customHeight="1" s="47">
      <c r="A17" s="90" t="n">
        <v>15</v>
      </c>
      <c r="B17" s="90" t="inlineStr">
        <is>
          <t>⏰ OCT-2026: chequear si abre Southampton Presidential 2027-28 (define slots 4-5 de Inova)</t>
        </is>
      </c>
      <c r="C17" s="90" t="inlineStr">
        <is>
          <t>Becas</t>
        </is>
      </c>
      <c r="D17" s="90" t="inlineStr">
        <is>
          <t>Abierto</t>
        </is>
      </c>
    </row>
    <row r="18" ht="15" customHeight="1" s="47">
      <c r="A18" s="90" t="n">
        <v>16</v>
      </c>
      <c r="B18" s="90" t="inlineStr">
        <is>
          <t>⏰ JUL-2026: iniciar ENDORSEMENT de la UBA para McCall MacBain (UBA no es universidad participante — obligatorio para aplicar; deadline beca 19-ago)</t>
        </is>
      </c>
      <c r="C18" s="90" t="inlineStr">
        <is>
          <t>Becas</t>
        </is>
      </c>
      <c r="D18" s="90" t="inlineStr">
        <is>
          <t>Abierto</t>
        </is>
      </c>
    </row>
    <row r="19" ht="15" customHeight="1" s="47">
      <c r="A19" s="90" t="n">
        <v>17</v>
      </c>
      <c r="B19" s="90" t="inlineStr">
        <is>
          <t>⏰ AGO-2026: decidir McCall MacBain (deadline 19-ago) — preparar ensayos + 2 referencias; requiere GRE listo o plan para ene-2027 → checklist completo en MCCALL_MCGILL_plan_ataque.md</t>
        </is>
      </c>
      <c r="C19" s="90" t="inlineStr">
        <is>
          <t>Becas</t>
        </is>
      </c>
      <c r="D19" s="90" t="inlineStr">
        <is>
          <t>Abierto</t>
        </is>
      </c>
    </row>
    <row r="20" ht="15" customHeight="1" s="47">
      <c r="A20" s="90" t="n">
        <v>18</v>
      </c>
      <c r="B20" s="90" t="inlineStr">
        <is>
          <t>McGill MA (thesis): contactar profesores de Economics y asegurar supervisor ANTES del deadline 15-ene-2027 (requisito de aplicación) → shortlist lista 17-jul-2026: Cámara / Ajzenman / Saltiel (+2ª línea) y template de mail en MCCALL_MCGILL_plan_ataque.md</t>
        </is>
      </c>
      <c r="C20" s="90" t="inlineStr">
        <is>
          <t>Programa</t>
        </is>
      </c>
      <c r="D20" s="90" t="inlineStr">
        <is>
          <t>Abierto</t>
        </is>
      </c>
    </row>
    <row r="21">
      <c r="A21" s="90" t="n">
        <v>19</v>
      </c>
      <c r="B21" s="90" t="inlineStr">
        <is>
          <t>Pedir a McGill la nominación PBEEE Québec (CAD 20k/año, apilable) al aplicar — deadlines internos ~oct-nov-2026; FRQ 2-dic-2026</t>
        </is>
      </c>
      <c r="C21" s="90" t="inlineStr">
        <is>
          <t>Becas</t>
        </is>
      </c>
      <c r="D21" s="90" t="inlineStr">
        <is>
          <t>Abierto</t>
        </is>
      </c>
    </row>
    <row r="22">
      <c r="A22" s="90" t="n">
        <v>20</v>
      </c>
      <c r="B22" s="90" t="inlineStr">
        <is>
          <t>Decidir si se contempla intake 2028-29 → Fulbright ARG Programa Regular (conv. ~ene-mar-2027; ciclo 2027-28 ya cerró)</t>
        </is>
      </c>
      <c r="C22" s="90" t="inlineStr">
        <is>
          <t>Estrategia</t>
        </is>
      </c>
      <c r="D22" s="90" t="inlineStr">
        <is>
          <t>Abierto</t>
        </is>
      </c>
    </row>
    <row r="23">
      <c r="A23" s="90" t="n">
        <v>21</v>
      </c>
      <c r="B23" s="90" t="inlineStr">
        <is>
          <t>Evaluar agregar Western MA Economics (funding automático tuition+TA) a Todos los programas y Ranking como plan B NA</t>
        </is>
      </c>
      <c r="C23" s="90" t="inlineStr">
        <is>
          <t>Programa</t>
        </is>
      </c>
      <c r="D23" s="90" t="inlineStr">
        <is>
          <t>Abierto</t>
        </is>
      </c>
    </row>
    <row r="24">
      <c r="A24" s="90" t="n">
        <v>22</v>
      </c>
      <c r="B24" s="90" t="inlineStr">
        <is>
          <t>Contactar distrito Rotary Buenos Aires ~sep-2026 para explorar Global Grant (US$30,6k, track desarrollo)</t>
        </is>
      </c>
      <c r="C24" s="90" t="inlineStr">
        <is>
          <t>Becas</t>
        </is>
      </c>
      <c r="D24" s="90" t="inlineStr">
        <is>
          <t>Abierto</t>
        </is>
      </c>
    </row>
    <row r="25">
      <c r="A25" s="90" t="n">
        <v>23</v>
      </c>
      <c r="B25" s="90" t="inlineStr">
        <is>
          <t>⏰ OCT-2026: confirmar y aplicar DAAD Study Scholarship (másters todas las disciplinas, ~€992/mes) — convierte Alemania en full package</t>
        </is>
      </c>
      <c r="C25" s="90" t="inlineStr">
        <is>
          <t>Becas</t>
        </is>
      </c>
      <c r="D25" s="90" t="inlineStr">
        <is>
          <t>Abierto</t>
        </is>
      </c>
    </row>
    <row r="26">
      <c r="A26" s="90" t="n">
        <v>24</v>
      </c>
      <c r="B26" s="90" t="inlineStr">
        <is>
          <t>⏰ NOV-2026 (1-30): decidir ETH ESOP — solo si MSc MTEC o Quantitative Finance entran en el track T1</t>
        </is>
      </c>
      <c r="C26" s="90" t="inlineStr">
        <is>
          <t>Estrategia</t>
        </is>
      </c>
      <c r="D26" s="90" t="inlineStr">
        <is>
          <t>Abierto</t>
        </is>
      </c>
    </row>
    <row r="27">
      <c r="A27" s="90" t="n">
        <v>25</v>
      </c>
      <c r="B27" s="90" t="inlineStr">
        <is>
          <t>⏰ DIC-2026: tildar funding (Gates) en app Cambridge; app Oxford en deadline temprana p/ Clarendon + Weidenfeld</t>
        </is>
      </c>
      <c r="C27" s="90" t="inlineStr">
        <is>
          <t>Becas</t>
        </is>
      </c>
      <c r="D27" s="90" t="inlineStr">
        <is>
          <t>Abierto</t>
        </is>
      </c>
    </row>
    <row r="28">
      <c r="A28" s="90" t="n">
        <v>26</v>
      </c>
      <c r="B28" s="90" t="inlineStr">
        <is>
          <t>FEB-ABR-2027: aplicar Master Mind vía KU Leuven (€10.225 + matrícula ~€137)</t>
        </is>
      </c>
      <c r="C28" s="90" t="inlineStr">
        <is>
          <t>Becas</t>
        </is>
      </c>
      <c r="D28" s="90" t="inlineStr">
        <is>
          <t>Abierto</t>
        </is>
      </c>
    </row>
    <row r="29">
      <c r="A29" s="90" t="n">
        <v>27</v>
      </c>
      <c r="B29" s="90" t="inlineStr">
        <is>
          <t>ENE-2027: GOI-IES Irlanda (€10k + waiver total) — requiere oferta de admisión en mano</t>
        </is>
      </c>
      <c r="C29" s="90" t="inlineStr">
        <is>
          <t>Becas</t>
        </is>
      </c>
      <c r="D29" s="90" t="inlineStr">
        <is>
          <t>Abierto</t>
        </is>
      </c>
    </row>
    <row r="30">
      <c r="A30" s="90" t="n">
        <v>28</v>
      </c>
      <c r="B30" s="90" t="inlineStr">
        <is>
          <t>CORREGIR supuesto en Perfil/estrategia: Irlanda NO es tuition EU para Manuel (regla residencia 3-de-5 años) → costo real Irlanda = fees non-EU, mitigable solo con GOI-IES</t>
        </is>
      </c>
      <c r="C30" s="90" t="inlineStr">
        <is>
          <t>Estrategia</t>
        </is>
      </c>
      <c r="D30" s="90" t="inlineStr">
        <is>
          <t>Abierto</t>
        </is>
      </c>
    </row>
    <row r="31">
      <c r="A31" s="90" t="n">
        <v>29</v>
      </c>
      <c r="B31" s="90" t="inlineStr">
        <is>
          <t>⏰ JUL-2026: pedir certificado analítico oficial a FCE-UBA (base p/ Inova + McCall + visa) y encargar traducción pública (CTPCBA)</t>
        </is>
      </c>
      <c r="C31" s="90" t="inlineStr">
        <is>
          <t>Inova</t>
        </is>
      </c>
      <c r="D31" s="90" t="inlineStr">
        <is>
          <t>Abierto</t>
        </is>
      </c>
    </row>
    <row r="32">
      <c r="A32" s="90" t="n">
        <v>30</v>
      </c>
      <c r="B32" s="90" t="inlineStr">
        <is>
          <t>AGO-2026: llenar form online de Inova (post McCall 19-ago) — checklist completo en INOVA_todo_documentos.md</t>
        </is>
      </c>
      <c r="C32" s="90" t="inlineStr">
        <is>
          <t>Inova</t>
        </is>
      </c>
      <c r="D32" s="90" t="inlineStr">
        <is>
          <t>Abierto</t>
        </is>
      </c>
    </row>
    <row r="33">
      <c r="A33" s="90" t="n">
        <v>31</v>
      </c>
      <c r="B33" s="90" t="inlineStr">
        <is>
          <t>SEP-2026: 5 Personal Statements UK + 2 cartas de recomendación membretadas (mismos referentes que McCall)</t>
        </is>
      </c>
      <c r="C33" s="90" t="inlineStr">
        <is>
          <t>Inova</t>
        </is>
      </c>
      <c r="D33" s="90" t="inlineStr">
        <is>
          <t>Abierto</t>
        </is>
      </c>
    </row>
    <row r="34">
      <c r="A34" s="90" t="n">
        <v>32</v>
      </c>
      <c r="B34" s="90" t="inlineStr">
        <is>
          <t>Preguntar a Fabiola: ¿pasaporte ARG o ESP para aplicar? ¿Inova gestiona becas de las unis o solo admisión?</t>
        </is>
      </c>
      <c r="C34" s="90" t="inlineStr">
        <is>
          <t>Inova</t>
        </is>
      </c>
      <c r="D34" s="90" t="inlineStr">
        <is>
          <t>Abierto</t>
        </is>
      </c>
    </row>
    <row r="35">
      <c r="A35" s="90" t="n">
        <v>33</v>
      </c>
      <c r="B35" s="90" t="inlineStr">
        <is>
          <t>⏰ 31-AGO-2026: decidir EPOS/HTW Berlin MIDE (T2) — ANTES verificar requisito 2 años experiencia post-título</t>
        </is>
      </c>
      <c r="C35" s="90" t="inlineStr">
        <is>
          <t>Becas</t>
        </is>
      </c>
      <c r="D35" s="90" t="inlineStr">
        <is>
          <t>Abierto</t>
        </is>
      </c>
    </row>
    <row r="36">
      <c r="A36" s="90" t="n">
        <v>34</v>
      </c>
      <c r="B36" s="90" t="inlineStr">
        <is>
          <t>⏰ 30-OCT-2026: DAAD Study Scholarship (todas las disciplinas) — armar aplicación desde fines de agosto</t>
        </is>
      </c>
      <c r="C36" s="90" t="inlineStr">
        <is>
          <t>Becas</t>
        </is>
      </c>
      <c r="D36" s="90" t="inlineStr">
        <is>
          <t>Abierto</t>
        </is>
      </c>
    </row>
    <row r="37">
      <c r="A37" s="90" t="n">
        <v>35</v>
      </c>
      <c r="B37" s="90" t="inlineStr">
        <is>
          <t>Averiguar proceso de nominación argentina p/ Stipendium Hungaricum (Campus Arg. Global / Ministerio) antes de nov-2026</t>
        </is>
      </c>
      <c r="C37" s="90" t="inlineStr">
        <is>
          <t>Becas</t>
        </is>
      </c>
      <c r="D37" s="90" t="inlineStr">
        <is>
          <t>Abierto</t>
        </is>
      </c>
    </row>
    <row r="38">
      <c r="A38" s="90" t="n">
        <v>36</v>
      </c>
      <c r="B38" s="90" t="inlineStr">
        <is>
          <t>Calcular ISEE parificato familiar estimado → define si DSU Italia es real</t>
        </is>
      </c>
      <c r="C38" s="90" t="inlineStr">
        <is>
          <t>Becas</t>
        </is>
      </c>
      <c r="D38" s="90" t="inlineStr">
        <is>
          <t>Abierto</t>
        </is>
      </c>
    </row>
    <row r="39">
      <c r="A39" s="90" t="n">
        <v>37</v>
      </c>
      <c r="B39" s="90" t="inlineStr">
        <is>
          <t>Si Aarhus queda en shortlist final: planificar part-time formal 10-12 h/sem para activar SU danés</t>
        </is>
      </c>
      <c r="C39" s="90" t="inlineStr">
        <is>
          <t>Estrategia</t>
        </is>
      </c>
      <c r="D39" s="90" t="inlineStr">
        <is>
          <t>Abierto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2026-07-11T01:45:55Z</dcterms:created>
  <dcterms:modified xmlns:dcterms="http://purl.org/dc/terms/" xmlns:xsi="http://www.w3.org/2001/XMLSchema-instance" xsi:type="dcterms:W3CDTF">2026-07-20T02:01:51Z</dcterms:modified>
  <cp:revision>0</cp:revision>
</cp:coreProperties>
</file>